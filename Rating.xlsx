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urjil\OneDrive - Cooperative Bank of Oromia S.C\Desktop\Credit Rating\Draft 1.0\"/>
    </mc:Choice>
  </mc:AlternateContent>
  <bookViews>
    <workbookView xWindow="0" yWindow="0" windowWidth="19200" windowHeight="6350" tabRatio="937" firstSheet="1" activeTab="5"/>
  </bookViews>
  <sheets>
    <sheet name="Merchandise Turnover" sheetId="18" r:id="rId1"/>
    <sheet name="Pre-Shipment Turnover" sheetId="19" r:id="rId2"/>
    <sheet name="OD TURNOVER" sheetId="15" r:id="rId3"/>
    <sheet name="OD SWING" sheetId="16" r:id="rId4"/>
    <sheet name="Account Statement" sheetId="24" r:id="rId5"/>
    <sheet name="Financial Statement" sheetId="14" r:id="rId6"/>
    <sheet name="Credit Information" sheetId="22" r:id="rId7"/>
    <sheet name="Collateral" sheetId="23" r:id="rId8"/>
    <sheet name="WC - CGS" sheetId="20" r:id="rId9"/>
    <sheet name="WC - Cash Flow" sheetId="21" r:id="rId10"/>
    <sheet name="Data Validation" sheetId="13" r:id="rId11"/>
    <sheet name="Business Strength Score" sheetId="17" r:id="rId12"/>
    <sheet name="Industry attractiveness 7" sheetId="2" state="hidden" r:id="rId13"/>
    <sheet name="Banking Relationship 10" sheetId="5" state="hidden" r:id="rId14"/>
    <sheet name="Character 5" sheetId="12" state="hidden" r:id="rId15"/>
    <sheet name="Financial 40" sheetId="1" state="hidden" r:id="rId16"/>
    <sheet name="Credit History 29" sheetId="4" state="hidden" r:id="rId17"/>
    <sheet name="Management Capacity  9" sheetId="6" state="hidden" r:id="rId18"/>
    <sheet name="Security Related Factor" sheetId="8" state="hidden" r:id="rId19"/>
    <sheet name="Business Strength Grade" sheetId="7" state="hidden" r:id="rId20"/>
    <sheet name="Coll Summary" sheetId="9" state="hidden" r:id="rId21"/>
    <sheet name="Interpretation" sheetId="10" state="hidden" r:id="rId22"/>
  </sheets>
  <definedNames>
    <definedName name="Beg_Bal">#REF!</definedName>
    <definedName name="Cum_Int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>IF([0]!Values_Entered,Header_Row+[0]!Number_of_Payments,Header_Row)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Print_Area_Reset">OFFSET(Full_Print,0,0,Last_Row)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Values_Entered">IF(Loan_Amount*Interest_Rate*Loan_Years*Loan_Start&gt;0,1,0)</definedName>
    <definedName name="zAutoHide4_0335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3" l="1"/>
  <c r="C17" i="13"/>
  <c r="C6" i="17"/>
  <c r="L6" i="1" l="1"/>
  <c r="C16" i="12" l="1"/>
  <c r="D15" i="12"/>
  <c r="E16" i="5"/>
  <c r="O58" i="1"/>
  <c r="E13" i="14" l="1"/>
  <c r="D13" i="14"/>
  <c r="C13" i="14"/>
  <c r="B13" i="14"/>
  <c r="I5" i="23" l="1"/>
  <c r="E8" i="14" l="1"/>
  <c r="E14" i="14"/>
  <c r="E21" i="14"/>
  <c r="E25" i="14" s="1"/>
  <c r="E22" i="14"/>
  <c r="E30" i="14"/>
  <c r="E38" i="14"/>
  <c r="E54" i="14" s="1"/>
  <c r="E39" i="14"/>
  <c r="E42" i="14"/>
  <c r="E70" i="14" s="1"/>
  <c r="E44" i="14"/>
  <c r="E69" i="14" s="1"/>
  <c r="E46" i="14"/>
  <c r="E48" i="14" s="1"/>
  <c r="E56" i="14"/>
  <c r="E57" i="14"/>
  <c r="F5" i="20"/>
  <c r="F6" i="20"/>
  <c r="F7" i="20"/>
  <c r="F8" i="20"/>
  <c r="F7" i="14"/>
  <c r="E62" i="14" l="1"/>
  <c r="E33" i="14"/>
  <c r="E64" i="14"/>
  <c r="E31" i="14"/>
  <c r="E34" i="14" s="1"/>
  <c r="E63" i="14"/>
  <c r="E61" i="14"/>
  <c r="E60" i="14"/>
  <c r="F4" i="20"/>
  <c r="E32" i="14"/>
  <c r="E58" i="14" s="1"/>
  <c r="E49" i="14"/>
  <c r="C19" i="17"/>
  <c r="D34" i="17"/>
  <c r="D33" i="17"/>
  <c r="D32" i="17"/>
  <c r="H76" i="22"/>
  <c r="H77" i="22" s="1"/>
  <c r="H49" i="22"/>
  <c r="H30" i="22"/>
  <c r="H26" i="22"/>
  <c r="H27" i="22" s="1"/>
  <c r="H14" i="22"/>
  <c r="D31" i="17"/>
  <c r="D30" i="17"/>
  <c r="D29" i="17"/>
  <c r="D24" i="17"/>
  <c r="E24" i="17" s="1"/>
  <c r="D23" i="17"/>
  <c r="D10" i="17"/>
  <c r="C22" i="13"/>
  <c r="C60" i="13"/>
  <c r="D36" i="17" s="1"/>
  <c r="C59" i="13"/>
  <c r="D35" i="17" s="1"/>
  <c r="F10" i="14"/>
  <c r="F11" i="14"/>
  <c r="F12" i="14"/>
  <c r="D26" i="19"/>
  <c r="C26" i="19"/>
  <c r="D26" i="18"/>
  <c r="C26" i="18"/>
  <c r="D13" i="17"/>
  <c r="C34" i="17"/>
  <c r="B34" i="17"/>
  <c r="E79" i="4"/>
  <c r="E80" i="4"/>
  <c r="E78" i="4"/>
  <c r="E77" i="4"/>
  <c r="B17" i="13"/>
  <c r="C5" i="17"/>
  <c r="N8" i="1"/>
  <c r="L8" i="1"/>
  <c r="J8" i="1"/>
  <c r="H8" i="1"/>
  <c r="F8" i="1"/>
  <c r="N7" i="1"/>
  <c r="L7" i="1"/>
  <c r="J7" i="1"/>
  <c r="H7" i="1"/>
  <c r="F7" i="1"/>
  <c r="N6" i="1"/>
  <c r="J6" i="1"/>
  <c r="H6" i="1"/>
  <c r="F6" i="1"/>
  <c r="D8" i="1"/>
  <c r="D7" i="1"/>
  <c r="D6" i="1"/>
  <c r="B55" i="14"/>
  <c r="C55" i="14"/>
  <c r="D55" i="14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32" i="8"/>
  <c r="D53" i="8"/>
  <c r="D52" i="8"/>
  <c r="D51" i="8"/>
  <c r="D50" i="8"/>
  <c r="D49" i="8"/>
  <c r="D48" i="8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D27" i="8"/>
  <c r="D26" i="8"/>
  <c r="D21" i="8"/>
  <c r="J78" i="22" a="1"/>
  <c r="J78" i="22" s="1"/>
  <c r="C8" i="21"/>
  <c r="I76" i="22"/>
  <c r="I49" i="22"/>
  <c r="I26" i="22"/>
  <c r="I14" i="22"/>
  <c r="E4" i="9"/>
  <c r="E5" i="9"/>
  <c r="E6" i="9"/>
  <c r="E7" i="9"/>
  <c r="E3" i="9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D42" i="17"/>
  <c r="D41" i="17"/>
  <c r="D40" i="17"/>
  <c r="D39" i="17"/>
  <c r="D38" i="17"/>
  <c r="D37" i="17"/>
  <c r="D18" i="17"/>
  <c r="D17" i="17"/>
  <c r="D16" i="17"/>
  <c r="D14" i="17"/>
  <c r="G15" i="9"/>
  <c r="F15" i="9"/>
  <c r="E15" i="9"/>
  <c r="D15" i="9"/>
  <c r="C15" i="9"/>
  <c r="N57" i="1"/>
  <c r="N56" i="1"/>
  <c r="N55" i="1"/>
  <c r="L57" i="1"/>
  <c r="L56" i="1"/>
  <c r="L55" i="1"/>
  <c r="J57" i="1"/>
  <c r="J56" i="1"/>
  <c r="J55" i="1"/>
  <c r="H57" i="1"/>
  <c r="H56" i="1"/>
  <c r="H55" i="1"/>
  <c r="F57" i="1"/>
  <c r="F56" i="1"/>
  <c r="F55" i="1"/>
  <c r="N44" i="1"/>
  <c r="N43" i="1"/>
  <c r="N42" i="1"/>
  <c r="N41" i="1"/>
  <c r="L44" i="1"/>
  <c r="L43" i="1"/>
  <c r="L42" i="1"/>
  <c r="L41" i="1"/>
  <c r="J44" i="1"/>
  <c r="J43" i="1"/>
  <c r="J42" i="1"/>
  <c r="J41" i="1"/>
  <c r="H44" i="1"/>
  <c r="H43" i="1"/>
  <c r="H42" i="1"/>
  <c r="H41" i="1"/>
  <c r="F44" i="1"/>
  <c r="F43" i="1"/>
  <c r="F42" i="1"/>
  <c r="F41" i="1"/>
  <c r="N39" i="1"/>
  <c r="N38" i="1"/>
  <c r="N37" i="1"/>
  <c r="L39" i="1"/>
  <c r="L38" i="1"/>
  <c r="L37" i="1"/>
  <c r="J39" i="1"/>
  <c r="J38" i="1"/>
  <c r="J37" i="1"/>
  <c r="H39" i="1"/>
  <c r="H38" i="1"/>
  <c r="H37" i="1"/>
  <c r="F39" i="1"/>
  <c r="F38" i="1"/>
  <c r="F37" i="1"/>
  <c r="N33" i="1"/>
  <c r="N32" i="1"/>
  <c r="L33" i="1"/>
  <c r="L32" i="1"/>
  <c r="J33" i="1"/>
  <c r="J32" i="1"/>
  <c r="H33" i="1"/>
  <c r="H32" i="1"/>
  <c r="F33" i="1"/>
  <c r="F32" i="1"/>
  <c r="N22" i="1"/>
  <c r="N21" i="1"/>
  <c r="L22" i="1"/>
  <c r="L21" i="1"/>
  <c r="J22" i="1"/>
  <c r="J21" i="1"/>
  <c r="H22" i="1"/>
  <c r="H21" i="1"/>
  <c r="F22" i="1"/>
  <c r="F21" i="1"/>
  <c r="N11" i="1"/>
  <c r="L11" i="1"/>
  <c r="J11" i="1"/>
  <c r="F11" i="1"/>
  <c r="D11" i="1"/>
  <c r="D56" i="1"/>
  <c r="D57" i="1"/>
  <c r="D55" i="1"/>
  <c r="D43" i="1"/>
  <c r="D44" i="1"/>
  <c r="D42" i="1"/>
  <c r="D41" i="1"/>
  <c r="D38" i="1"/>
  <c r="D39" i="1"/>
  <c r="D37" i="1"/>
  <c r="D33" i="1"/>
  <c r="D32" i="1"/>
  <c r="D22" i="1"/>
  <c r="D21" i="1"/>
  <c r="H11" i="1"/>
  <c r="D11" i="13"/>
  <c r="D12" i="5"/>
  <c r="D13" i="5"/>
  <c r="D14" i="5"/>
  <c r="D15" i="5"/>
  <c r="D11" i="5"/>
  <c r="D8" i="5"/>
  <c r="D7" i="5"/>
  <c r="J5" i="23"/>
  <c r="J6" i="23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4" i="23"/>
  <c r="C39" i="13"/>
  <c r="C38" i="13" s="1"/>
  <c r="C47" i="17"/>
  <c r="C9" i="21"/>
  <c r="C19" i="20"/>
  <c r="I33" i="23"/>
  <c r="I34" i="23"/>
  <c r="I35" i="23"/>
  <c r="I36" i="23"/>
  <c r="I37" i="23"/>
  <c r="D29" i="23"/>
  <c r="G29" i="23"/>
  <c r="D30" i="23"/>
  <c r="G30" i="23"/>
  <c r="D31" i="23"/>
  <c r="G31" i="23"/>
  <c r="D32" i="23"/>
  <c r="G32" i="23"/>
  <c r="D33" i="23"/>
  <c r="G33" i="23"/>
  <c r="D34" i="23"/>
  <c r="G34" i="23"/>
  <c r="D35" i="23"/>
  <c r="G35" i="23"/>
  <c r="D36" i="23"/>
  <c r="G36" i="23"/>
  <c r="D37" i="23"/>
  <c r="G37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D5" i="23"/>
  <c r="G5" i="23" s="1"/>
  <c r="D6" i="23"/>
  <c r="G6" i="23" s="1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C5" i="20"/>
  <c r="D7" i="20"/>
  <c r="E7" i="20"/>
  <c r="C7" i="20"/>
  <c r="D6" i="20"/>
  <c r="E6" i="20"/>
  <c r="C6" i="20"/>
  <c r="D5" i="20"/>
  <c r="E5" i="20"/>
  <c r="E66" i="14" l="1"/>
  <c r="E67" i="14"/>
  <c r="E68" i="14"/>
  <c r="E71" i="14"/>
  <c r="F55" i="14"/>
  <c r="D25" i="17"/>
  <c r="H5" i="23"/>
  <c r="I27" i="22"/>
  <c r="I77" i="22"/>
  <c r="I6" i="23"/>
  <c r="E10" i="20"/>
  <c r="D10" i="20"/>
  <c r="C10" i="20"/>
  <c r="E8" i="20"/>
  <c r="D9" i="20"/>
  <c r="G6" i="20"/>
  <c r="E9" i="20"/>
  <c r="C9" i="20"/>
  <c r="G5" i="20"/>
  <c r="G7" i="20"/>
  <c r="D5" i="17" l="1"/>
  <c r="F5" i="17" s="1"/>
  <c r="C57" i="13"/>
  <c r="E34" i="17"/>
  <c r="F34" i="17" s="1"/>
  <c r="G10" i="20"/>
  <c r="C17" i="20" s="1"/>
  <c r="I39" i="23"/>
  <c r="G9" i="20"/>
  <c r="C14" i="20" s="1"/>
  <c r="C74" i="13"/>
  <c r="I38" i="23"/>
  <c r="C75" i="13" l="1"/>
  <c r="D47" i="17" s="1"/>
  <c r="C76" i="13"/>
  <c r="C77" i="13" s="1"/>
  <c r="C10" i="21"/>
  <c r="D8" i="20"/>
  <c r="C8" i="20"/>
  <c r="G8" i="20" l="1"/>
  <c r="C15" i="20" s="1"/>
  <c r="C16" i="20" s="1"/>
  <c r="C18" i="20" s="1"/>
  <c r="C20" i="20" s="1"/>
  <c r="B17" i="9" l="1"/>
  <c r="B18" i="9"/>
  <c r="B19" i="9"/>
  <c r="B20" i="9"/>
  <c r="B16" i="9"/>
  <c r="A51" i="17"/>
  <c r="A50" i="17"/>
  <c r="D7" i="9"/>
  <c r="D5" i="9"/>
  <c r="D6" i="9"/>
  <c r="D4" i="9"/>
  <c r="D24" i="8"/>
  <c r="D25" i="8"/>
  <c r="D23" i="8"/>
  <c r="D22" i="8"/>
  <c r="A46" i="17"/>
  <c r="A45" i="17"/>
  <c r="A44" i="17"/>
  <c r="C8" i="7"/>
  <c r="C7" i="7"/>
  <c r="C5" i="7"/>
  <c r="C6" i="7"/>
  <c r="E30" i="17"/>
  <c r="E29" i="17"/>
  <c r="E23" i="17"/>
  <c r="B56" i="14"/>
  <c r="D11" i="17" s="1"/>
  <c r="C26" i="13"/>
  <c r="C25" i="13"/>
  <c r="B27" i="13"/>
  <c r="B24" i="13"/>
  <c r="B25" i="13"/>
  <c r="B26" i="13"/>
  <c r="B19" i="13"/>
  <c r="B20" i="13"/>
  <c r="B21" i="13"/>
  <c r="B22" i="13"/>
  <c r="B23" i="13"/>
  <c r="B18" i="13"/>
  <c r="F45" i="14"/>
  <c r="C43" i="13"/>
  <c r="C42" i="13" s="1"/>
  <c r="C41" i="13" a="1"/>
  <c r="C41" i="13" s="1"/>
  <c r="D26" i="17" s="1"/>
  <c r="C31" i="13"/>
  <c r="D28" i="17" l="1"/>
  <c r="D27" i="17"/>
  <c r="C45" i="13" a="1"/>
  <c r="C45" i="13" s="1"/>
  <c r="E27" i="17"/>
  <c r="C30" i="13"/>
  <c r="C33" i="13"/>
  <c r="C32" i="13"/>
  <c r="C34" i="13" a="1"/>
  <c r="C34" i="13" s="1"/>
  <c r="C48" i="17"/>
  <c r="E25" i="17"/>
  <c r="C23" i="13"/>
  <c r="E33" i="17"/>
  <c r="F33" i="17" s="1"/>
  <c r="E32" i="17"/>
  <c r="F32" i="17" s="1"/>
  <c r="E31" i="17"/>
  <c r="F31" i="17" s="1"/>
  <c r="C42" i="17"/>
  <c r="C41" i="17"/>
  <c r="C40" i="17"/>
  <c r="C39" i="17"/>
  <c r="C38" i="17"/>
  <c r="C37" i="17"/>
  <c r="C36" i="17"/>
  <c r="C35" i="17"/>
  <c r="C33" i="17"/>
  <c r="C32" i="17"/>
  <c r="C31" i="17"/>
  <c r="C29" i="17"/>
  <c r="C30" i="17"/>
  <c r="C28" i="17"/>
  <c r="C27" i="17"/>
  <c r="C26" i="17"/>
  <c r="C25" i="17"/>
  <c r="C24" i="17"/>
  <c r="C23" i="17"/>
  <c r="C22" i="17"/>
  <c r="C21" i="17"/>
  <c r="C20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D19" i="17" l="1"/>
  <c r="D22" i="17"/>
  <c r="E19" i="17"/>
  <c r="F19" i="17" s="1"/>
  <c r="D20" i="17"/>
  <c r="D21" i="17"/>
  <c r="C35" i="13"/>
  <c r="E35" i="17"/>
  <c r="E37" i="17"/>
  <c r="F37" i="17" s="1"/>
  <c r="E40" i="17"/>
  <c r="F40" i="17" s="1"/>
  <c r="F16" i="17"/>
  <c r="C56" i="14"/>
  <c r="D56" i="14"/>
  <c r="F47" i="14"/>
  <c r="A36" i="14"/>
  <c r="D57" i="14"/>
  <c r="C57" i="14"/>
  <c r="B57" i="14"/>
  <c r="F43" i="14"/>
  <c r="D42" i="14"/>
  <c r="D44" i="14" s="1"/>
  <c r="C42" i="14"/>
  <c r="B42" i="14"/>
  <c r="B70" i="14" s="1"/>
  <c r="F41" i="14"/>
  <c r="F40" i="14"/>
  <c r="D39" i="14"/>
  <c r="C39" i="14"/>
  <c r="B39" i="14"/>
  <c r="F38" i="14"/>
  <c r="F54" i="14" s="1"/>
  <c r="D38" i="14"/>
  <c r="C38" i="14"/>
  <c r="B38" i="14"/>
  <c r="F29" i="14"/>
  <c r="F27" i="14"/>
  <c r="D22" i="14"/>
  <c r="C22" i="14"/>
  <c r="D21" i="14"/>
  <c r="C21" i="14"/>
  <c r="B21" i="14"/>
  <c r="D7" i="17" s="1"/>
  <c r="F20" i="14"/>
  <c r="F19" i="14"/>
  <c r="F17" i="14"/>
  <c r="D8" i="14"/>
  <c r="C8" i="14"/>
  <c r="B8" i="14"/>
  <c r="C25" i="14" l="1"/>
  <c r="F35" i="17"/>
  <c r="C43" i="17" s="1"/>
  <c r="F8" i="14"/>
  <c r="B54" i="14"/>
  <c r="C4" i="20"/>
  <c r="C54" i="14"/>
  <c r="D4" i="20"/>
  <c r="D46" i="14"/>
  <c r="D54" i="14"/>
  <c r="E4" i="20"/>
  <c r="B32" i="14"/>
  <c r="B60" i="14"/>
  <c r="C19" i="13" s="1"/>
  <c r="F57" i="14"/>
  <c r="D25" i="14"/>
  <c r="B44" i="14"/>
  <c r="D69" i="14"/>
  <c r="D61" i="14"/>
  <c r="C61" i="14"/>
  <c r="F56" i="14"/>
  <c r="D30" i="14"/>
  <c r="B61" i="14"/>
  <c r="B14" i="14"/>
  <c r="F13" i="14"/>
  <c r="C44" i="14"/>
  <c r="C46" i="14" s="1"/>
  <c r="F42" i="14"/>
  <c r="C70" i="14"/>
  <c r="F18" i="14"/>
  <c r="C60" i="14"/>
  <c r="C32" i="14"/>
  <c r="C58" i="14" s="1"/>
  <c r="D60" i="14"/>
  <c r="D32" i="14"/>
  <c r="D58" i="14" s="1"/>
  <c r="D70" i="14"/>
  <c r="C14" i="14"/>
  <c r="D14" i="14"/>
  <c r="C33" i="14" l="1"/>
  <c r="C64" i="14" s="1"/>
  <c r="D48" i="14"/>
  <c r="D49" i="14" s="1"/>
  <c r="C11" i="21"/>
  <c r="C13" i="21" s="1"/>
  <c r="C21" i="20"/>
  <c r="C23" i="20" s="1"/>
  <c r="C72" i="13" s="1"/>
  <c r="F21" i="14"/>
  <c r="F22" i="14" s="1"/>
  <c r="B46" i="14"/>
  <c r="B69" i="14"/>
  <c r="C48" i="14"/>
  <c r="C49" i="14" s="1"/>
  <c r="F70" i="14"/>
  <c r="D31" i="14"/>
  <c r="D34" i="14" s="1"/>
  <c r="D62" i="14"/>
  <c r="C69" i="14"/>
  <c r="F44" i="14"/>
  <c r="C63" i="14"/>
  <c r="B58" i="14"/>
  <c r="C30" i="14"/>
  <c r="F14" i="14"/>
  <c r="D33" i="14"/>
  <c r="D64" i="14" s="1"/>
  <c r="D63" i="14"/>
  <c r="F61" i="14"/>
  <c r="F60" i="14"/>
  <c r="D67" i="14" l="1"/>
  <c r="D66" i="14"/>
  <c r="C73" i="13"/>
  <c r="C79" i="13" s="1"/>
  <c r="D48" i="17" s="1"/>
  <c r="C78" i="13"/>
  <c r="D9" i="17"/>
  <c r="B48" i="14"/>
  <c r="F48" i="14" s="1"/>
  <c r="F46" i="14"/>
  <c r="B49" i="14"/>
  <c r="F25" i="14"/>
  <c r="F33" i="14" s="1"/>
  <c r="F64" i="14" s="1"/>
  <c r="F23" i="14"/>
  <c r="D71" i="14"/>
  <c r="D68" i="14"/>
  <c r="F69" i="14"/>
  <c r="C68" i="14"/>
  <c r="C66" i="14"/>
  <c r="C71" i="14"/>
  <c r="C31" i="14"/>
  <c r="C34" i="14" s="1"/>
  <c r="C62" i="14"/>
  <c r="C67" i="14"/>
  <c r="F58" i="14"/>
  <c r="B30" i="14"/>
  <c r="B62" i="14" s="1"/>
  <c r="F28" i="14"/>
  <c r="F30" i="14" s="1"/>
  <c r="F32" i="14"/>
  <c r="F47" i="17" l="1"/>
  <c r="C49" i="17" s="1"/>
  <c r="F31" i="14"/>
  <c r="B66" i="14"/>
  <c r="C20" i="13" s="1"/>
  <c r="B68" i="14"/>
  <c r="F68" i="14" s="1"/>
  <c r="B71" i="14"/>
  <c r="F71" i="14" s="1"/>
  <c r="F49" i="14"/>
  <c r="F66" i="14" s="1"/>
  <c r="D15" i="17"/>
  <c r="C27" i="13"/>
  <c r="F62" i="14"/>
  <c r="B67" i="14"/>
  <c r="E47" i="17" l="1"/>
  <c r="C51" i="17"/>
  <c r="C50" i="17"/>
  <c r="D8" i="17"/>
  <c r="F67" i="14"/>
  <c r="D12" i="17"/>
  <c r="C24" i="13"/>
  <c r="B49" i="13"/>
  <c r="B47" i="13"/>
  <c r="E16" i="6" l="1"/>
  <c r="E15" i="2" l="1"/>
  <c r="B22" i="14" l="1"/>
  <c r="B25" i="14" s="1"/>
  <c r="B31" i="14" l="1"/>
  <c r="B34" i="14" s="1"/>
  <c r="B63" i="14"/>
  <c r="B33" i="14"/>
  <c r="B64" i="14" s="1"/>
  <c r="D6" i="17" l="1"/>
  <c r="C18" i="13"/>
  <c r="F63" i="14"/>
  <c r="C44" i="17"/>
  <c r="C45" i="17" l="1"/>
  <c r="C46" i="17"/>
  <c r="C52" i="17" s="1"/>
  <c r="C53" i="17" s="1"/>
  <c r="C54" i="17" s="1" a="1"/>
  <c r="C54" i="17" s="1"/>
</calcChain>
</file>

<file path=xl/comments1.xml><?xml version="1.0" encoding="utf-8"?>
<comments xmlns="http://schemas.openxmlformats.org/spreadsheetml/2006/main">
  <authors>
    <author>coop</author>
  </authors>
  <commentList>
    <comment ref="C6" authorId="0" shapeId="0">
      <text>
        <r>
          <rPr>
            <b/>
            <sz val="9"/>
            <color indexed="81"/>
            <rFont val="Tahoma"/>
            <family val="2"/>
          </rPr>
          <t>coop:</t>
        </r>
        <r>
          <rPr>
            <sz val="9"/>
            <color indexed="81"/>
            <rFont val="Tahoma"/>
            <family val="2"/>
          </rPr>
          <t xml:space="preserve">
The Total Sales revenue planned by the applicant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coop:</t>
        </r>
        <r>
          <rPr>
            <sz val="9"/>
            <color indexed="81"/>
            <rFont val="Tahoma"/>
            <family val="2"/>
          </rPr>
          <t xml:space="preserve">
The total Cash outflow projected by the applicant in the 1st year of operation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coop:</t>
        </r>
        <r>
          <rPr>
            <sz val="9"/>
            <color indexed="81"/>
            <rFont val="Tahoma"/>
            <family val="2"/>
          </rPr>
          <t xml:space="preserve">
If the business is new any cash or in-kind raw material contribution should be deducted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<sst xmlns="http://schemas.openxmlformats.org/spreadsheetml/2006/main" count="641" uniqueCount="478">
  <si>
    <t>Risk Aspects</t>
  </si>
  <si>
    <t>Sector</t>
  </si>
  <si>
    <t>Score</t>
  </si>
  <si>
    <t>Profitability</t>
  </si>
  <si>
    <t>Liquidity (Current Ratio = CA/CL) 5%</t>
  </si>
  <si>
    <t>Return on Asset =Net Income after tax /Total asset) 3%</t>
  </si>
  <si>
    <t>Operating profit Margin(Operating profit/Total Sales) 5%</t>
  </si>
  <si>
    <t>Quality of Financial Statement 5%</t>
  </si>
  <si>
    <t>All Audited up to date</t>
  </si>
  <si>
    <t>All Audited and one year provisional statements</t>
  </si>
  <si>
    <t>All provisional statements</t>
  </si>
  <si>
    <t>Commercial Credit Report</t>
  </si>
  <si>
    <t>Negative Values</t>
  </si>
  <si>
    <t>Minor discrepancy</t>
  </si>
  <si>
    <t>Major discrepancy</t>
  </si>
  <si>
    <t>Return on Equity (Net Income / Equity) 4%</t>
  </si>
  <si>
    <t>Agriculture</t>
  </si>
  <si>
    <t>Export</t>
  </si>
  <si>
    <t>Construction &amp; Machinery</t>
  </si>
  <si>
    <t>Measurement</t>
  </si>
  <si>
    <t>Parameters</t>
  </si>
  <si>
    <t>Favorable</t>
  </si>
  <si>
    <t>Stable</t>
  </si>
  <si>
    <t>Weak Player</t>
  </si>
  <si>
    <t>Unstable</t>
  </si>
  <si>
    <t>Acceptable</t>
  </si>
  <si>
    <t>Cooperatives</t>
  </si>
  <si>
    <t>Private limited company</t>
  </si>
  <si>
    <t>Sole proprietorship</t>
  </si>
  <si>
    <t xml:space="preserve">Industry attractiveness </t>
  </si>
  <si>
    <t>S/N</t>
  </si>
  <si>
    <t>Swing</t>
  </si>
  <si>
    <t>Settled within two weeks</t>
  </si>
  <si>
    <t>Settled all advances within due date</t>
  </si>
  <si>
    <t>Settled within three weeks</t>
  </si>
  <si>
    <t>Settled within a month</t>
  </si>
  <si>
    <t>Settled after a month</t>
  </si>
  <si>
    <t>Settlement of Guarantee</t>
  </si>
  <si>
    <t>Settled without claim</t>
  </si>
  <si>
    <t>Claimed but settled by customer</t>
  </si>
  <si>
    <t>Claimed and paid by the bank</t>
  </si>
  <si>
    <t>C</t>
  </si>
  <si>
    <t>Adequate</t>
  </si>
  <si>
    <t>Inconsistent</t>
  </si>
  <si>
    <t>Provides consistently prompt</t>
  </si>
  <si>
    <t>Response and willingly</t>
  </si>
  <si>
    <t>Responds with repeated Inquiry</t>
  </si>
  <si>
    <t>Not responsive or willing</t>
  </si>
  <si>
    <t>S/No</t>
  </si>
  <si>
    <r>
      <t xml:space="preserve"> &gt;</t>
    </r>
    <r>
      <rPr>
        <sz val="12"/>
        <color theme="1"/>
        <rFont val="Calisto MT"/>
        <family val="1"/>
      </rPr>
      <t>10</t>
    </r>
  </si>
  <si>
    <t>7- 10 years</t>
  </si>
  <si>
    <t>3- 7 Years</t>
  </si>
  <si>
    <t>&lt; 3 years</t>
  </si>
  <si>
    <t>Experience  in  related  Line of Business (4%)</t>
  </si>
  <si>
    <t>Clear outlined duties and responsibility supported by organizational structure</t>
  </si>
  <si>
    <t>Semi segregated duties and responsibilities supported by organizational structure</t>
  </si>
  <si>
    <t>Total Equity/Total Asset (5%)</t>
  </si>
  <si>
    <t>Unclear duties, responsibilities and control system breached</t>
  </si>
  <si>
    <t>Bankability</t>
  </si>
  <si>
    <t>I</t>
  </si>
  <si>
    <t>II</t>
  </si>
  <si>
    <t>Very Low Risk</t>
  </si>
  <si>
    <t>III</t>
  </si>
  <si>
    <t>Low Risk</t>
  </si>
  <si>
    <t>IV</t>
  </si>
  <si>
    <t>Moderate risk</t>
  </si>
  <si>
    <t>V</t>
  </si>
  <si>
    <t>High risk</t>
  </si>
  <si>
    <t>Range of Achievement</t>
  </si>
  <si>
    <t>Collateral Risk (100%)</t>
  </si>
  <si>
    <t>Collateral Type (20%)</t>
  </si>
  <si>
    <t>Type of collateral</t>
  </si>
  <si>
    <t>Export Document</t>
  </si>
  <si>
    <t>Second Degree Mortgage</t>
  </si>
  <si>
    <t>Collateral to Loan Coverage Ratio (80%)</t>
  </si>
  <si>
    <t>Strongly Secured</t>
  </si>
  <si>
    <t>A</t>
  </si>
  <si>
    <t>Fully Secured</t>
  </si>
  <si>
    <t>B</t>
  </si>
  <si>
    <t>Low risk</t>
  </si>
  <si>
    <t>Partially Secured</t>
  </si>
  <si>
    <t>D</t>
  </si>
  <si>
    <t>Unsecured</t>
  </si>
  <si>
    <t>Very high risk</t>
  </si>
  <si>
    <t>Description</t>
  </si>
  <si>
    <t>Value</t>
  </si>
  <si>
    <t>Risk Grade</t>
  </si>
  <si>
    <t>Collateral Risk For Cooperatives (100%)</t>
  </si>
  <si>
    <t>In addition , the pricing will be different(lower)  from other customers</t>
  </si>
  <si>
    <t>Share Company</t>
  </si>
  <si>
    <t>Security Strength \ Borrower Business Strength</t>
  </si>
  <si>
    <t>Doubtful</t>
  </si>
  <si>
    <t>Loss</t>
  </si>
  <si>
    <t>AAA</t>
  </si>
  <si>
    <t>AA</t>
  </si>
  <si>
    <t>BBB</t>
  </si>
  <si>
    <t>BB</t>
  </si>
  <si>
    <t>CCC</t>
  </si>
  <si>
    <t>CC</t>
  </si>
  <si>
    <t>Security Strength</t>
  </si>
  <si>
    <t>Borrower Business Strength</t>
  </si>
  <si>
    <t>Manufacturing</t>
  </si>
  <si>
    <t>Total</t>
  </si>
  <si>
    <t>NA</t>
  </si>
  <si>
    <t>NO</t>
  </si>
  <si>
    <t>DTS</t>
  </si>
  <si>
    <t>Inventory Turnover Ratio (CGS/Average Inventory) 4%</t>
  </si>
  <si>
    <t>Management and Ownership Risk (9%)</t>
  </si>
  <si>
    <t>Financial Position (40%)</t>
  </si>
  <si>
    <t>Consistency of presented document (2%)</t>
  </si>
  <si>
    <t>&gt;5 million</t>
  </si>
  <si>
    <t>3 - 5 million</t>
  </si>
  <si>
    <t>2 - 3 million</t>
  </si>
  <si>
    <t>Overdraft Facility (21%)</t>
  </si>
  <si>
    <t>T/Loan Performance (21%)</t>
  </si>
  <si>
    <t>L/C Facility (21%)</t>
  </si>
  <si>
    <t>Average settlement of import L/C facility (21%)</t>
  </si>
  <si>
    <t>Merchandise Loan Limit - 21%</t>
  </si>
  <si>
    <t>Pre-shipment Export Credit (21%)</t>
  </si>
  <si>
    <t>Turn over (13%)</t>
  </si>
  <si>
    <t>Post Export Credit facility (21%)</t>
  </si>
  <si>
    <t>Guarantee Facility (21%)</t>
  </si>
  <si>
    <t>Credit History 25%</t>
  </si>
  <si>
    <t>Banking Relationship (10%)</t>
  </si>
  <si>
    <t>Settled within two months</t>
  </si>
  <si>
    <t>Settled within three months</t>
  </si>
  <si>
    <t>Settled after three months</t>
  </si>
  <si>
    <t>Form of Organization (3%)</t>
  </si>
  <si>
    <t>Name of Customer</t>
  </si>
  <si>
    <t>Import</t>
  </si>
  <si>
    <t>Sub-sector</t>
  </si>
  <si>
    <t>Line of business</t>
  </si>
  <si>
    <t>Debt Service Coverage Ratio</t>
  </si>
  <si>
    <t>Business/Industry and form of organization</t>
  </si>
  <si>
    <t>Business/Industry outlook of the customer</t>
  </si>
  <si>
    <t xml:space="preserve">Market competition/market </t>
  </si>
  <si>
    <t xml:space="preserve">Form of Organization </t>
  </si>
  <si>
    <t>Credit History</t>
  </si>
  <si>
    <t>Overdraft Utilization</t>
  </si>
  <si>
    <t>Term Loan Performance</t>
  </si>
  <si>
    <t>Existing Loan Repayments</t>
  </si>
  <si>
    <t>Settled Loans</t>
  </si>
  <si>
    <t>2.1.1</t>
  </si>
  <si>
    <t>2.1.2</t>
  </si>
  <si>
    <t>Letter of Credit</t>
  </si>
  <si>
    <t>Average settlement of import L/C facility</t>
  </si>
  <si>
    <t>2.1.3</t>
  </si>
  <si>
    <t>Merchandise Loan Facility</t>
  </si>
  <si>
    <t>Settlement of Merchandise Loan</t>
  </si>
  <si>
    <t>Turn-over</t>
  </si>
  <si>
    <t>2.1.4</t>
  </si>
  <si>
    <t>Pre-shipment Export Credit</t>
  </si>
  <si>
    <t>Average settlement from the date of advance in FCY</t>
  </si>
  <si>
    <t>Turn over</t>
  </si>
  <si>
    <t>2.1.5</t>
  </si>
  <si>
    <t>Post Export Credit facility</t>
  </si>
  <si>
    <t>2.1.6</t>
  </si>
  <si>
    <t>Guarantee Facility</t>
  </si>
  <si>
    <t>Credit Exposure</t>
  </si>
  <si>
    <t>Aggregate Credit Exposure</t>
  </si>
  <si>
    <t>Banking Relationship</t>
  </si>
  <si>
    <t xml:space="preserve">Length of relationship with CBO </t>
  </si>
  <si>
    <t>The account transaction to sales percentage share with CBO</t>
  </si>
  <si>
    <t>Character of applicant/management</t>
  </si>
  <si>
    <t xml:space="preserve">Consistency of presented document </t>
  </si>
  <si>
    <t xml:space="preserve">Responsiveness to wards bank's inquiry </t>
  </si>
  <si>
    <t xml:space="preserve">Corporate Responsibility (Tax Payment) </t>
  </si>
  <si>
    <t>Management Capacity</t>
  </si>
  <si>
    <t>Experience  in  related  Line of Business</t>
  </si>
  <si>
    <t>Qualification</t>
  </si>
  <si>
    <t>Availability of clear duty and Segregation</t>
  </si>
  <si>
    <t>51% and above of the top management Members are 1st Degree and above graduates</t>
  </si>
  <si>
    <t>51% and above of the top management Members are Diplomaand above graduates</t>
  </si>
  <si>
    <t>51% and above of the top management members are High School and above graduates</t>
  </si>
  <si>
    <t>51% and above of the top management members are below High School graduates</t>
  </si>
  <si>
    <t>Collateral</t>
  </si>
  <si>
    <t>Collateral Type</t>
  </si>
  <si>
    <t>Balance Sheet as at…</t>
  </si>
  <si>
    <t>July 7, 2024 G.C</t>
  </si>
  <si>
    <t>July 7, 2023 G.C</t>
  </si>
  <si>
    <t>July 7, 2022 G.C</t>
  </si>
  <si>
    <t>Average</t>
  </si>
  <si>
    <t>(Audited)</t>
  </si>
  <si>
    <t>Assets</t>
  </si>
  <si>
    <t xml:space="preserve">Non-current assets </t>
  </si>
  <si>
    <t>Property, plant &amp; equipment</t>
  </si>
  <si>
    <t>Total Non-current Assets</t>
  </si>
  <si>
    <t xml:space="preserve">Current Assets </t>
  </si>
  <si>
    <t>Stocks</t>
  </si>
  <si>
    <t>Trade and other receivables</t>
  </si>
  <si>
    <t>Cash on hand and at bank</t>
  </si>
  <si>
    <t>Total Current Assets</t>
  </si>
  <si>
    <t>Total Assets</t>
  </si>
  <si>
    <t>Liabilities</t>
  </si>
  <si>
    <t>Current Liabilities</t>
  </si>
  <si>
    <t>Trade &amp; other payables</t>
  </si>
  <si>
    <t>Other Payables</t>
  </si>
  <si>
    <t>Shareholder account</t>
  </si>
  <si>
    <t xml:space="preserve">Profit tax payable </t>
  </si>
  <si>
    <t>Total current liability</t>
  </si>
  <si>
    <t>Long term liabilities</t>
  </si>
  <si>
    <t>Bank Loan</t>
  </si>
  <si>
    <t>Lease payable</t>
  </si>
  <si>
    <t>Total liabilities</t>
  </si>
  <si>
    <t>Capital</t>
  </si>
  <si>
    <t>Reserve</t>
  </si>
  <si>
    <t xml:space="preserve">Retained Earning </t>
  </si>
  <si>
    <t>Total Capital</t>
  </si>
  <si>
    <t>Total Liability &amp; Capital</t>
  </si>
  <si>
    <t>Net Working Capital</t>
  </si>
  <si>
    <t>Tangible Net Worth</t>
  </si>
  <si>
    <t>Income Statement as at …</t>
  </si>
  <si>
    <t>Sales</t>
  </si>
  <si>
    <t>Less: Cost of Goods Sold</t>
  </si>
  <si>
    <t>Gross Profit</t>
  </si>
  <si>
    <t>Less: Operating Expenses</t>
  </si>
  <si>
    <t>Less: Income tax</t>
  </si>
  <si>
    <t>Net Income (Net Loss)</t>
  </si>
  <si>
    <t>Efficiency Ratios:</t>
  </si>
  <si>
    <t>Inventory Turnover</t>
  </si>
  <si>
    <t>Collection Period</t>
  </si>
  <si>
    <t>Working Capital to Sales</t>
  </si>
  <si>
    <t>Financial Strength Ratios:</t>
  </si>
  <si>
    <t>Acid test Ratio</t>
  </si>
  <si>
    <t>Debt to total asset</t>
  </si>
  <si>
    <t>Debt to total networth</t>
  </si>
  <si>
    <t>Profitability Ratios:</t>
  </si>
  <si>
    <t>ROE</t>
  </si>
  <si>
    <t>Gross Profit Margin</t>
  </si>
  <si>
    <t>Net Profit Margin</t>
  </si>
  <si>
    <t>ABC Company</t>
  </si>
  <si>
    <t>Less: Interest Expense</t>
  </si>
  <si>
    <t>Leverage (Total Debt to total asset) 6%</t>
  </si>
  <si>
    <t>Equity to Total Asset</t>
  </si>
  <si>
    <t>Current Ratio (CA/CL)</t>
  </si>
  <si>
    <t>ROA</t>
  </si>
  <si>
    <t>Operating profit margin</t>
  </si>
  <si>
    <t>Quality of Financial Statement</t>
  </si>
  <si>
    <t>Discrepancy</t>
  </si>
  <si>
    <t>Qualification (2%)</t>
  </si>
  <si>
    <t>Source</t>
  </si>
  <si>
    <t>Loan Facility History</t>
  </si>
  <si>
    <t>MONTH</t>
  </si>
  <si>
    <t>Overdraft Account Number</t>
  </si>
  <si>
    <t>Overdraft Turnover</t>
  </si>
  <si>
    <t>Merchandise Loan Account Number</t>
  </si>
  <si>
    <t>Pre-Shipment Loan Account Number</t>
  </si>
  <si>
    <t>1 - 29 days in arrears</t>
  </si>
  <si>
    <t>Leverage (Total Debt to total asset)</t>
  </si>
  <si>
    <t xml:space="preserve">Liquidity (Current Ratio = CA/CL) </t>
  </si>
  <si>
    <t>Return on Asset =Net Income after tax /Total asset)</t>
  </si>
  <si>
    <t>Operating profit Margin(Operating profit/Total Sales)</t>
  </si>
  <si>
    <t>Debt Service Coverage Ratio (Net income after tax/Interest expenses)</t>
  </si>
  <si>
    <t>Inventory Turnover Ratio (CGS/Average Inventory)</t>
  </si>
  <si>
    <t>Return on Equity (Net Income / Equity)</t>
  </si>
  <si>
    <t>Total Equity/Total Asset</t>
  </si>
  <si>
    <t>Perspective</t>
  </si>
  <si>
    <t>Weight</t>
  </si>
  <si>
    <t>Market competition</t>
  </si>
  <si>
    <t>Form of Organization</t>
  </si>
  <si>
    <t>OD Swing Highest Debit</t>
  </si>
  <si>
    <t>OD Swing Lowest Debit</t>
  </si>
  <si>
    <t>OD Turnover</t>
  </si>
  <si>
    <t>Existing T/L Repayment</t>
  </si>
  <si>
    <t>Settled Term Loans</t>
  </si>
  <si>
    <t>Merchandise Turn-over</t>
  </si>
  <si>
    <t>Settlement of Pre-Shipment Loan</t>
  </si>
  <si>
    <t>Pre-Shipment Turn-over</t>
  </si>
  <si>
    <t>Overdraft Current Status Classifcation</t>
  </si>
  <si>
    <t>Pass</t>
  </si>
  <si>
    <t>Special Mention</t>
  </si>
  <si>
    <t>Substandard</t>
  </si>
  <si>
    <t>OD Classification</t>
  </si>
  <si>
    <t>Turnover 10%</t>
  </si>
  <si>
    <t>Highest debit 3%</t>
  </si>
  <si>
    <t>Lowest debit 4%</t>
  </si>
  <si>
    <t>Current Status Classification 4%</t>
  </si>
  <si>
    <t>Existing loan repayment 21%</t>
  </si>
  <si>
    <t>Settlement of Merchandise Loan 8%</t>
  </si>
  <si>
    <t>Turn-over (13%)</t>
  </si>
  <si>
    <t>Settled within 1 - 29 days from the due date</t>
  </si>
  <si>
    <t>Settled after 90 days from the due date</t>
  </si>
  <si>
    <t>Settled within 30 - 89 days from the due date</t>
  </si>
  <si>
    <t>Settlement of Pre-shipment in FCY (8%)</t>
  </si>
  <si>
    <t>Average settlement (21%)</t>
  </si>
  <si>
    <t>Adverse Classification Ever</t>
  </si>
  <si>
    <t>Adverse Classification Ever (2%)</t>
  </si>
  <si>
    <t>Credit Exposure (1%)</t>
  </si>
  <si>
    <t>&lt; 2 million</t>
  </si>
  <si>
    <t>Loan Settlemnt (1%)</t>
  </si>
  <si>
    <r>
      <t>Settled loans 1</t>
    </r>
    <r>
      <rPr>
        <sz val="12"/>
        <color theme="1"/>
        <rFont val="Arial"/>
        <family val="2"/>
      </rPr>
      <t>%</t>
    </r>
  </si>
  <si>
    <t>Aggregate Credit Exposure (1%)</t>
  </si>
  <si>
    <t>O days</t>
  </si>
  <si>
    <r>
      <t>Worst Days in Arrears 2</t>
    </r>
    <r>
      <rPr>
        <sz val="12"/>
        <color theme="1"/>
        <rFont val="Arial"/>
        <family val="2"/>
      </rPr>
      <t>%</t>
    </r>
  </si>
  <si>
    <t>30 - 89 days in arrears</t>
  </si>
  <si>
    <t>&gt; 89 days in arrears</t>
  </si>
  <si>
    <t>Length of relationship with CBO</t>
  </si>
  <si>
    <t>Consistency of presented document</t>
  </si>
  <si>
    <t>Responsiveness to wards bank's inquiry</t>
  </si>
  <si>
    <t>Corporate Responsibility (Tax Payment)</t>
  </si>
  <si>
    <t>Availability of clear duty Segregation (3%)</t>
  </si>
  <si>
    <t>Availability of clear duty Segregation</t>
  </si>
  <si>
    <t>Regular Repayment</t>
  </si>
  <si>
    <t>1 - 29 Days in Arrears</t>
  </si>
  <si>
    <t>30-89 Days in Arrears</t>
  </si>
  <si>
    <t>More than 89 Days in Arrears</t>
  </si>
  <si>
    <t>Settled with Regular Repayment</t>
  </si>
  <si>
    <t>Settled Timely but with an Element of Irregularity</t>
  </si>
  <si>
    <t xml:space="preserve">Settled before 90 Days after Due Date </t>
  </si>
  <si>
    <t>Settled after Being NPL and/ or through Foreclosure, Legal Action</t>
  </si>
  <si>
    <t>Adverse Classifiation</t>
  </si>
  <si>
    <t>Overdraft Swing (Highest Debit %age)</t>
  </si>
  <si>
    <t>Overdraft Swing (Lowest Debit %age)</t>
  </si>
  <si>
    <t>Cooperative Bank of Oromia</t>
  </si>
  <si>
    <t xml:space="preserve">Customer Name: </t>
  </si>
  <si>
    <t>Type of Facility</t>
  </si>
  <si>
    <t>Industry Type</t>
  </si>
  <si>
    <t>Account Number</t>
  </si>
  <si>
    <t>Approved Amount</t>
  </si>
  <si>
    <t>Date Approved</t>
  </si>
  <si>
    <t>Debit (Disbursements)</t>
  </si>
  <si>
    <t>Credit (Principal Repayments)</t>
  </si>
  <si>
    <t>Reporting Date</t>
  </si>
  <si>
    <t>Profit before Interest, tax, and Depreciation</t>
  </si>
  <si>
    <t>Less: Depreciation Expense</t>
  </si>
  <si>
    <t>Proft Before Interest and Tax</t>
  </si>
  <si>
    <t>Financial Ratios</t>
  </si>
  <si>
    <t>Total Business Strength</t>
  </si>
  <si>
    <t>Business Strength Grade</t>
  </si>
  <si>
    <t>Moderate Risk</t>
  </si>
  <si>
    <t>Amount Requested</t>
  </si>
  <si>
    <t>Product Requested</t>
  </si>
  <si>
    <t>Collateral Value</t>
  </si>
  <si>
    <t>Collateral Coverage</t>
  </si>
  <si>
    <t>Collateral Strength</t>
  </si>
  <si>
    <t>Collateral Strength Grade</t>
  </si>
  <si>
    <t xml:space="preserve">Collateral Risk Level </t>
  </si>
  <si>
    <t>Risk Matrix</t>
  </si>
  <si>
    <t>Vey Low  Risk</t>
  </si>
  <si>
    <t>Business Risk Level</t>
  </si>
  <si>
    <t>Risk Mtrix</t>
  </si>
  <si>
    <t>Credit Risk Grade</t>
  </si>
  <si>
    <t>Working Capital Determination</t>
  </si>
  <si>
    <t>Cost of Goods Sold Method</t>
  </si>
  <si>
    <t>Operation Year</t>
  </si>
  <si>
    <t>Average % Growth</t>
  </si>
  <si>
    <t>Revenue</t>
  </si>
  <si>
    <t>CGS</t>
  </si>
  <si>
    <t>Expenses</t>
  </si>
  <si>
    <t>CGS to Total Sales</t>
  </si>
  <si>
    <t>Working Capital</t>
  </si>
  <si>
    <t>Forcasted Sales Revenue</t>
  </si>
  <si>
    <t>Average CGS to total sales</t>
  </si>
  <si>
    <t>Forecasted CGS</t>
  </si>
  <si>
    <t xml:space="preserve">Expenses </t>
  </si>
  <si>
    <t>Total Annual Working Capital</t>
  </si>
  <si>
    <t>Working Capital Cycle (months)</t>
  </si>
  <si>
    <t>Working Capital for one cycle</t>
  </si>
  <si>
    <t>Less: Net Current Asset)</t>
  </si>
  <si>
    <t>Net working capital required</t>
  </si>
  <si>
    <t>Cash Flow Method</t>
  </si>
  <si>
    <t>Forecasted Annual Cash Inflows</t>
  </si>
  <si>
    <t xml:space="preserve">Forecasted Annual Cash Outflows </t>
  </si>
  <si>
    <t>Credit Information</t>
  </si>
  <si>
    <t>Sr. No</t>
  </si>
  <si>
    <t>Total Current Balance</t>
  </si>
  <si>
    <t>Status</t>
  </si>
  <si>
    <t>Revolving Facility</t>
  </si>
  <si>
    <t>Non-Revolving loan</t>
  </si>
  <si>
    <t>Grand Total Credit</t>
  </si>
  <si>
    <t>Expense growth rate</t>
  </si>
  <si>
    <t>Sales growth rate</t>
  </si>
  <si>
    <t>Cash</t>
  </si>
  <si>
    <t>Cash Substitutes</t>
  </si>
  <si>
    <t>Share certificate</t>
  </si>
  <si>
    <t>Merchandize</t>
  </si>
  <si>
    <t>Building</t>
  </si>
  <si>
    <t>Vehicle</t>
  </si>
  <si>
    <t>Machinery</t>
  </si>
  <si>
    <t>Government Guarantee</t>
  </si>
  <si>
    <t>Bank Guarantee</t>
  </si>
  <si>
    <t>Personal Guarantee</t>
  </si>
  <si>
    <t>Corporate Guarantee</t>
  </si>
  <si>
    <t>Land Lease Right</t>
  </si>
  <si>
    <t>Coffee Plantation</t>
  </si>
  <si>
    <t>No</t>
  </si>
  <si>
    <t>Discount Rate</t>
  </si>
  <si>
    <t>Net Value</t>
  </si>
  <si>
    <t xml:space="preserve">Year of Manufacturing </t>
  </si>
  <si>
    <t>Age</t>
  </si>
  <si>
    <t>Mandatory Method</t>
  </si>
  <si>
    <t>Turnover Analysis</t>
  </si>
  <si>
    <t>Account Holder:</t>
  </si>
  <si>
    <t>Industry</t>
  </si>
  <si>
    <t>Sanction Limit</t>
  </si>
  <si>
    <t>Approved Date</t>
  </si>
  <si>
    <t>Facility Type</t>
  </si>
  <si>
    <t>Report Date:</t>
  </si>
  <si>
    <t>Valuation Method</t>
  </si>
  <si>
    <t>TOTAL TURNOVER 
DEBIT</t>
  </si>
  <si>
    <t>TOTAL TURNOVER
CREDIT</t>
  </si>
  <si>
    <t xml:space="preserve">NUMBER OF CREDIT ENTRY </t>
  </si>
  <si>
    <t>MONTHELY CREDIT AVG</t>
  </si>
  <si>
    <t>UTILIZATION PERCENTAGE</t>
  </si>
  <si>
    <t>Working Capital Score %</t>
  </si>
  <si>
    <t>Working Capital determination</t>
  </si>
  <si>
    <t>Determined Working Capital</t>
  </si>
  <si>
    <t>Working Capital Cycle per Year</t>
  </si>
  <si>
    <t>Recommended Loan Amount</t>
  </si>
  <si>
    <t>Exceptionally Low Risk</t>
  </si>
  <si>
    <t>High Risk</t>
  </si>
  <si>
    <t>DATE HIGH</t>
  </si>
  <si>
    <t>DATE LOW</t>
  </si>
  <si>
    <t>HIGHEST UTILIZATION</t>
  </si>
  <si>
    <t>LOWEST UTILIZATION</t>
  </si>
  <si>
    <t>HIGH</t>
  </si>
  <si>
    <t>LOW</t>
  </si>
  <si>
    <t>UTILIZATION %</t>
  </si>
  <si>
    <t>Swing Analysis</t>
  </si>
  <si>
    <t>Collateral Coverage Against Request &amp; Existing Oustanding</t>
  </si>
  <si>
    <t>Collateral Coverage Against Required Working Capital &amp; Existing Oustanding</t>
  </si>
  <si>
    <t>Collateral that shares maximum Percentage</t>
  </si>
  <si>
    <t>Less: Existing Facility with Banks</t>
  </si>
  <si>
    <t>Prepared by</t>
  </si>
  <si>
    <t>Date Account Opened</t>
  </si>
  <si>
    <t>Amount of Working capital to consider</t>
  </si>
  <si>
    <t>Collateral Coverage Against Considered Working Capital &amp; Existing Oustanding</t>
  </si>
  <si>
    <t>_____________________</t>
  </si>
  <si>
    <t>Credit Risk Rating and Scoring Template</t>
  </si>
  <si>
    <t>Revied by</t>
  </si>
  <si>
    <t>Mark</t>
  </si>
  <si>
    <t>Justification</t>
  </si>
  <si>
    <t>Post Export Credit facility (ODBP)</t>
  </si>
  <si>
    <t>Financial (40%)</t>
  </si>
  <si>
    <t>Market competition/market (4%)</t>
  </si>
  <si>
    <t>Market Leader</t>
  </si>
  <si>
    <t>Market player</t>
  </si>
  <si>
    <t>Average Player</t>
  </si>
  <si>
    <t>Business/Industry outlook of the customer (3%)</t>
  </si>
  <si>
    <t>Length of relationship with CBO (3%)</t>
  </si>
  <si>
    <t>Responsiveness towards bank's inquiry (2%)</t>
  </si>
  <si>
    <t>Good</t>
  </si>
  <si>
    <t>The account transaction to sales percentage share with CBO (7%)</t>
  </si>
  <si>
    <t>Interest Coverage Ratio (Net income after tax/Interest expenses) 3%</t>
  </si>
  <si>
    <t>Under Secured</t>
  </si>
  <si>
    <t>Excellent (First Class)</t>
  </si>
  <si>
    <t>Reliable (Good Standing)</t>
  </si>
  <si>
    <t>Acceptable (Satisfactory)</t>
  </si>
  <si>
    <t>Watch list (Marginal)</t>
  </si>
  <si>
    <t>Poor (Distressed Business )</t>
  </si>
  <si>
    <t>______________________________</t>
  </si>
  <si>
    <t>Existing Exposure with CoopBank</t>
  </si>
  <si>
    <t>Credit Product</t>
  </si>
  <si>
    <t>Current Exposure with CoopBank</t>
  </si>
  <si>
    <t>Current Exposure with Other Bank</t>
  </si>
  <si>
    <t>Existing Exposure with Other Bank</t>
  </si>
  <si>
    <t>Lending Bank</t>
  </si>
  <si>
    <t>Sub Total</t>
  </si>
  <si>
    <t>Grand Total</t>
  </si>
  <si>
    <t>Date Granted</t>
  </si>
  <si>
    <t>Expiry Date</t>
  </si>
  <si>
    <t>Activity Ratio</t>
  </si>
  <si>
    <t>Activity Ratio (3%)</t>
  </si>
  <si>
    <t>The account transaction to Loan Outstanding with CBO</t>
  </si>
  <si>
    <t>Account Transaction vs Outstanding Loan</t>
  </si>
  <si>
    <t>Account Transaction Perforamce</t>
  </si>
  <si>
    <t>Credit History (29%)</t>
  </si>
  <si>
    <t>Industry Outlook (7%)</t>
  </si>
  <si>
    <t>Management Capacity (9%)</t>
  </si>
  <si>
    <t>Character of applicant/management (5%)</t>
  </si>
  <si>
    <t>Month</t>
  </si>
  <si>
    <t>Amount Granted</t>
  </si>
  <si>
    <t>Working Capital Determination Method to Employ</t>
  </si>
  <si>
    <t>MONTHLY CREDIT AVG</t>
  </si>
  <si>
    <t>YES</t>
  </si>
  <si>
    <t>Corporate Responsibility (Tax Payment) (1%)</t>
  </si>
  <si>
    <t>Business/Industry and form of organization Risk (7%)</t>
  </si>
  <si>
    <t>July 07, 2025 G.C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</si>
</sst>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%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sto MT"/>
      <family val="1"/>
    </font>
    <font>
      <sz val="12"/>
      <color theme="1"/>
      <name val="Calisto MT"/>
      <family val="1"/>
    </font>
    <font>
      <sz val="11"/>
      <color theme="1"/>
      <name val="Times New Roman"/>
      <family val="1"/>
    </font>
    <font>
      <b/>
      <sz val="12"/>
      <color theme="1"/>
      <name val="Arial"/>
      <family val="2"/>
    </font>
    <font>
      <sz val="11.5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rgb="FF000000"/>
      <name val="Calibri"/>
      <family val="2"/>
      <scheme val="minor"/>
    </font>
    <font>
      <sz val="11.5"/>
      <color rgb="FF000000"/>
      <name val="Arial"/>
      <family val="2"/>
    </font>
    <font>
      <u/>
      <sz val="12"/>
      <color theme="1"/>
      <name val="Calisto MT"/>
      <family val="1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gency FB"/>
      <family val="2"/>
    </font>
    <font>
      <b/>
      <sz val="11"/>
      <color rgb="FFFA7D00"/>
      <name val="Agency FB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3F3F76"/>
      <name val="Agency FB"/>
      <family val="2"/>
    </font>
    <font>
      <sz val="10"/>
      <name val="Calibri"/>
      <family val="1"/>
      <scheme val="minor"/>
    </font>
    <font>
      <sz val="12"/>
      <color rgb="FF000000"/>
      <name val="Arial"/>
      <family val="2"/>
    </font>
    <font>
      <sz val="12"/>
      <name val="Calisto MT"/>
      <family val="1"/>
    </font>
    <font>
      <b/>
      <sz val="12"/>
      <name val="Calisto MT"/>
      <family val="1"/>
    </font>
    <font>
      <sz val="11"/>
      <color rgb="FFFF0000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b/>
      <sz val="12"/>
      <color rgb="FF00000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ptos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16" fillId="0" borderId="0"/>
    <xf numFmtId="0" fontId="19" fillId="6" borderId="0" applyNumberFormat="0" applyBorder="0" applyAlignment="0" applyProtection="0"/>
    <xf numFmtId="0" fontId="20" fillId="5" borderId="9" applyNumberFormat="0" applyAlignment="0" applyProtection="0"/>
    <xf numFmtId="165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3" fillId="4" borderId="9" applyNumberFormat="0" applyAlignment="0" applyProtection="0"/>
    <xf numFmtId="0" fontId="24" fillId="0" borderId="0"/>
    <xf numFmtId="0" fontId="1" fillId="0" borderId="0"/>
    <xf numFmtId="165" fontId="1" fillId="0" borderId="0" applyFont="0" applyFill="0" applyBorder="0" applyAlignment="0" applyProtection="0"/>
  </cellStyleXfs>
  <cellXfs count="447">
    <xf numFmtId="0" fontId="0" fillId="0" borderId="0" xfId="0"/>
    <xf numFmtId="9" fontId="0" fillId="0" borderId="0" xfId="0" applyNumberFormat="1"/>
    <xf numFmtId="0" fontId="2" fillId="0" borderId="1" xfId="0" applyFont="1" applyBorder="1" applyAlignment="1">
      <alignment vertical="center" wrapText="1"/>
    </xf>
    <xf numFmtId="9" fontId="3" fillId="0" borderId="1" xfId="0" applyNumberFormat="1" applyFont="1" applyBorder="1" applyAlignment="1">
      <alignment vertical="center" wrapText="1"/>
    </xf>
    <xf numFmtId="9" fontId="7" fillId="0" borderId="1" xfId="0" applyNumberFormat="1" applyFont="1" applyBorder="1" applyAlignment="1">
      <alignment horizontal="left" vertical="center" wrapText="1" indent="1"/>
    </xf>
    <xf numFmtId="0" fontId="8" fillId="0" borderId="0" xfId="0" applyFont="1"/>
    <xf numFmtId="0" fontId="8" fillId="0" borderId="1" xfId="0" applyFont="1" applyBorder="1" applyAlignment="1">
      <alignment vertical="center" wrapText="1"/>
    </xf>
    <xf numFmtId="16" fontId="3" fillId="0" borderId="0" xfId="0" applyNumberFormat="1" applyFont="1"/>
    <xf numFmtId="0" fontId="10" fillId="0" borderId="0" xfId="0" applyFont="1" applyAlignment="1">
      <alignment vertical="center"/>
    </xf>
    <xf numFmtId="0" fontId="0" fillId="0" borderId="1" xfId="0" applyBorder="1"/>
    <xf numFmtId="0" fontId="6" fillId="0" borderId="0" xfId="0" applyFont="1" applyAlignment="1">
      <alignment horizontal="left" vertical="center" wrapText="1" indent="1"/>
    </xf>
    <xf numFmtId="0" fontId="12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left" inden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2"/>
    </xf>
    <xf numFmtId="0" fontId="1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4" fillId="0" borderId="1" xfId="0" applyFont="1" applyBorder="1"/>
    <xf numFmtId="9" fontId="7" fillId="0" borderId="1" xfId="0" applyNumberFormat="1" applyFont="1" applyBorder="1" applyAlignment="1">
      <alignment vertical="center" wrapText="1"/>
    </xf>
    <xf numFmtId="9" fontId="7" fillId="0" borderId="1" xfId="0" applyNumberFormat="1" applyFont="1" applyBorder="1" applyAlignment="1">
      <alignment horizontal="center" vertical="center" wrapText="1"/>
    </xf>
    <xf numFmtId="9" fontId="6" fillId="0" borderId="0" xfId="0" applyNumberFormat="1" applyFont="1" applyAlignment="1">
      <alignment horizontal="left" vertical="center" wrapText="1" indent="1"/>
    </xf>
    <xf numFmtId="0" fontId="1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4" fontId="0" fillId="0" borderId="0" xfId="0" applyNumberFormat="1"/>
    <xf numFmtId="9" fontId="7" fillId="0" borderId="1" xfId="1" applyFont="1" applyBorder="1" applyAlignment="1">
      <alignment horizontal="center" vertical="center" wrapText="1"/>
    </xf>
    <xf numFmtId="0" fontId="14" fillId="0" borderId="0" xfId="0" applyFont="1"/>
    <xf numFmtId="9" fontId="7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8" fillId="0" borderId="0" xfId="0" applyFont="1"/>
    <xf numFmtId="10" fontId="28" fillId="0" borderId="0" xfId="0" applyNumberFormat="1" applyFont="1"/>
    <xf numFmtId="10" fontId="29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5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2"/>
    </xf>
    <xf numFmtId="0" fontId="5" fillId="0" borderId="1" xfId="0" applyFont="1" applyBorder="1" applyAlignment="1">
      <alignment horizontal="left" vertical="center" wrapText="1" indent="1"/>
    </xf>
    <xf numFmtId="0" fontId="29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vertical="center"/>
    </xf>
    <xf numFmtId="0" fontId="15" fillId="0" borderId="1" xfId="0" applyFont="1" applyBorder="1" applyAlignment="1">
      <alignment vertical="center"/>
    </xf>
    <xf numFmtId="0" fontId="0" fillId="8" borderId="1" xfId="0" applyFill="1" applyBorder="1" applyAlignment="1">
      <alignment horizontal="right"/>
    </xf>
    <xf numFmtId="165" fontId="15" fillId="0" borderId="1" xfId="0" applyNumberFormat="1" applyFont="1" applyBorder="1"/>
    <xf numFmtId="0" fontId="7" fillId="0" borderId="0" xfId="0" applyFont="1"/>
    <xf numFmtId="165" fontId="31" fillId="9" borderId="12" xfId="11" applyFont="1" applyFill="1" applyBorder="1" applyAlignment="1">
      <alignment horizontal="center" vertical="center" wrapText="1"/>
    </xf>
    <xf numFmtId="165" fontId="31" fillId="9" borderId="1" xfId="11" applyFont="1" applyFill="1" applyBorder="1" applyAlignment="1">
      <alignment horizontal="center" vertical="center" wrapText="1"/>
    </xf>
    <xf numFmtId="0" fontId="31" fillId="0" borderId="14" xfId="0" applyFont="1" applyBorder="1" applyAlignment="1">
      <alignment vertical="center"/>
    </xf>
    <xf numFmtId="0" fontId="25" fillId="0" borderId="14" xfId="0" applyFont="1" applyBorder="1" applyAlignment="1">
      <alignment vertical="center" wrapText="1"/>
    </xf>
    <xf numFmtId="0" fontId="31" fillId="0" borderId="14" xfId="0" applyFont="1" applyBorder="1" applyAlignment="1">
      <alignment vertical="center" wrapText="1"/>
    </xf>
    <xf numFmtId="0" fontId="5" fillId="0" borderId="0" xfId="0" applyFont="1"/>
    <xf numFmtId="0" fontId="25" fillId="0" borderId="14" xfId="0" applyFont="1" applyBorder="1" applyAlignment="1">
      <alignment vertical="center"/>
    </xf>
    <xf numFmtId="0" fontId="25" fillId="0" borderId="16" xfId="0" applyFont="1" applyBorder="1" applyAlignment="1">
      <alignment vertical="center" wrapText="1"/>
    </xf>
    <xf numFmtId="0" fontId="5" fillId="0" borderId="1" xfId="0" applyFont="1" applyBorder="1"/>
    <xf numFmtId="165" fontId="7" fillId="0" borderId="0" xfId="11" applyFont="1"/>
    <xf numFmtId="165" fontId="7" fillId="0" borderId="0" xfId="11" applyFont="1" applyBorder="1" applyAlignment="1">
      <alignment horizontal="center"/>
    </xf>
    <xf numFmtId="0" fontId="31" fillId="0" borderId="18" xfId="0" applyFont="1" applyBorder="1" applyAlignment="1">
      <alignment vertical="center" wrapText="1"/>
    </xf>
    <xf numFmtId="0" fontId="31" fillId="10" borderId="11" xfId="0" applyFont="1" applyFill="1" applyBorder="1" applyAlignment="1">
      <alignment vertical="center" wrapText="1"/>
    </xf>
    <xf numFmtId="165" fontId="31" fillId="10" borderId="12" xfId="11" applyFont="1" applyFill="1" applyBorder="1" applyAlignment="1">
      <alignment horizontal="center" vertical="center" wrapText="1"/>
    </xf>
    <xf numFmtId="0" fontId="31" fillId="10" borderId="12" xfId="0" applyFont="1" applyFill="1" applyBorder="1" applyAlignment="1">
      <alignment horizontal="center" vertical="center" wrapText="1"/>
    </xf>
    <xf numFmtId="165" fontId="5" fillId="10" borderId="13" xfId="11" applyFont="1" applyFill="1" applyBorder="1" applyAlignment="1">
      <alignment horizontal="center" vertical="center"/>
    </xf>
    <xf numFmtId="0" fontId="25" fillId="0" borderId="18" xfId="0" applyFont="1" applyBorder="1" applyAlignment="1">
      <alignment vertical="center" wrapText="1"/>
    </xf>
    <xf numFmtId="165" fontId="7" fillId="0" borderId="0" xfId="11" applyFont="1" applyAlignment="1">
      <alignment horizontal="center"/>
    </xf>
    <xf numFmtId="0" fontId="25" fillId="11" borderId="14" xfId="0" applyFont="1" applyFill="1" applyBorder="1" applyAlignment="1">
      <alignment vertical="center" wrapText="1"/>
    </xf>
    <xf numFmtId="166" fontId="3" fillId="0" borderId="1" xfId="0" applyNumberFormat="1" applyFont="1" applyBorder="1" applyAlignment="1">
      <alignment vertical="center" wrapText="1"/>
    </xf>
    <xf numFmtId="15" fontId="0" fillId="0" borderId="0" xfId="0" applyNumberFormat="1"/>
    <xf numFmtId="4" fontId="0" fillId="0" borderId="1" xfId="0" applyNumberFormat="1" applyBorder="1"/>
    <xf numFmtId="0" fontId="14" fillId="0" borderId="0" xfId="0" applyFont="1" applyAlignment="1">
      <alignment horizontal="center"/>
    </xf>
    <xf numFmtId="166" fontId="7" fillId="0" borderId="1" xfId="0" applyNumberFormat="1" applyFont="1" applyBorder="1" applyAlignment="1">
      <alignment horizontal="center" vertical="center" wrapText="1"/>
    </xf>
    <xf numFmtId="10" fontId="7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9" fontId="0" fillId="0" borderId="1" xfId="1" applyFont="1" applyBorder="1"/>
    <xf numFmtId="0" fontId="0" fillId="0" borderId="2" xfId="0" applyBorder="1" applyAlignment="1">
      <alignment vertical="center"/>
    </xf>
    <xf numFmtId="165" fontId="0" fillId="0" borderId="1" xfId="11" applyFont="1" applyBorder="1"/>
    <xf numFmtId="165" fontId="14" fillId="0" borderId="1" xfId="11" applyFont="1" applyBorder="1"/>
    <xf numFmtId="9" fontId="0" fillId="0" borderId="0" xfId="1" applyFont="1"/>
    <xf numFmtId="0" fontId="34" fillId="0" borderId="0" xfId="0" applyFont="1" applyAlignment="1">
      <alignment vertical="center"/>
    </xf>
    <xf numFmtId="165" fontId="0" fillId="0" borderId="0" xfId="11" applyFont="1"/>
    <xf numFmtId="2" fontId="0" fillId="0" borderId="1" xfId="1" applyNumberFormat="1" applyFont="1" applyBorder="1"/>
    <xf numFmtId="9" fontId="25" fillId="0" borderId="10" xfId="0" applyNumberFormat="1" applyFont="1" applyBorder="1" applyAlignment="1">
      <alignment vertical="center" wrapText="1"/>
    </xf>
    <xf numFmtId="9" fontId="25" fillId="0" borderId="25" xfId="0" applyNumberFormat="1" applyFont="1" applyBorder="1" applyAlignment="1">
      <alignment vertical="center" wrapText="1"/>
    </xf>
    <xf numFmtId="9" fontId="25" fillId="0" borderId="26" xfId="0" applyNumberFormat="1" applyFont="1" applyBorder="1" applyAlignment="1">
      <alignment vertical="center" wrapText="1"/>
    </xf>
    <xf numFmtId="0" fontId="15" fillId="8" borderId="1" xfId="0" applyFont="1" applyFill="1" applyBorder="1"/>
    <xf numFmtId="9" fontId="25" fillId="0" borderId="27" xfId="0" applyNumberFormat="1" applyFon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0" fillId="0" borderId="27" xfId="0" applyBorder="1"/>
    <xf numFmtId="9" fontId="0" fillId="0" borderId="35" xfId="1" applyFont="1" applyBorder="1"/>
    <xf numFmtId="9" fontId="0" fillId="0" borderId="5" xfId="1" applyFont="1" applyBorder="1"/>
    <xf numFmtId="9" fontId="0" fillId="0" borderId="6" xfId="1" applyFont="1" applyBorder="1"/>
    <xf numFmtId="9" fontId="0" fillId="0" borderId="5" xfId="1" applyFont="1" applyFill="1" applyBorder="1" applyAlignment="1">
      <alignment horizontal="center"/>
    </xf>
    <xf numFmtId="10" fontId="0" fillId="0" borderId="8" xfId="1" applyNumberFormat="1" applyFont="1" applyBorder="1" applyAlignment="1"/>
    <xf numFmtId="10" fontId="0" fillId="0" borderId="22" xfId="1" applyNumberFormat="1" applyFont="1" applyBorder="1" applyAlignment="1"/>
    <xf numFmtId="10" fontId="0" fillId="0" borderId="38" xfId="1" applyNumberFormat="1" applyFont="1" applyBorder="1" applyAlignment="1"/>
    <xf numFmtId="0" fontId="14" fillId="7" borderId="0" xfId="0" applyFont="1" applyFill="1"/>
    <xf numFmtId="0" fontId="14" fillId="7" borderId="35" xfId="0" applyFont="1" applyFill="1" applyBorder="1" applyAlignment="1">
      <alignment horizontal="center"/>
    </xf>
    <xf numFmtId="0" fontId="35" fillId="7" borderId="1" xfId="0" applyFont="1" applyFill="1" applyBorder="1" applyAlignment="1">
      <alignment horizontal="center" vertical="center" wrapText="1"/>
    </xf>
    <xf numFmtId="0" fontId="36" fillId="7" borderId="1" xfId="0" applyFont="1" applyFill="1" applyBorder="1" applyAlignment="1">
      <alignment horizontal="justify" vertical="center" wrapText="1"/>
    </xf>
    <xf numFmtId="0" fontId="14" fillId="7" borderId="1" xfId="0" applyFont="1" applyFill="1" applyBorder="1"/>
    <xf numFmtId="165" fontId="14" fillId="7" borderId="1" xfId="0" applyNumberFormat="1" applyFont="1" applyFill="1" applyBorder="1"/>
    <xf numFmtId="9" fontId="14" fillId="7" borderId="1" xfId="0" applyNumberFormat="1" applyFont="1" applyFill="1" applyBorder="1"/>
    <xf numFmtId="0" fontId="30" fillId="7" borderId="1" xfId="0" applyFont="1" applyFill="1" applyBorder="1"/>
    <xf numFmtId="0" fontId="30" fillId="0" borderId="0" xfId="0" applyFont="1"/>
    <xf numFmtId="9" fontId="14" fillId="7" borderId="0" xfId="1" applyFont="1" applyFill="1" applyBorder="1"/>
    <xf numFmtId="9" fontId="36" fillId="7" borderId="0" xfId="0" applyNumberFormat="1" applyFont="1" applyFill="1" applyAlignment="1">
      <alignment horizontal="center" vertical="center" wrapText="1"/>
    </xf>
    <xf numFmtId="165" fontId="35" fillId="7" borderId="1" xfId="0" applyNumberFormat="1" applyFont="1" applyFill="1" applyBorder="1" applyAlignment="1">
      <alignment horizontal="center" vertical="center" wrapText="1"/>
    </xf>
    <xf numFmtId="0" fontId="38" fillId="0" borderId="27" xfId="0" applyFont="1" applyBorder="1" applyAlignment="1">
      <alignment vertical="top" wrapText="1" readingOrder="1"/>
    </xf>
    <xf numFmtId="0" fontId="15" fillId="0" borderId="27" xfId="0" applyFont="1" applyBorder="1"/>
    <xf numFmtId="0" fontId="15" fillId="11" borderId="27" xfId="0" applyFont="1" applyFill="1" applyBorder="1"/>
    <xf numFmtId="0" fontId="15" fillId="11" borderId="27" xfId="0" applyFont="1" applyFill="1" applyBorder="1" applyAlignment="1">
      <alignment wrapText="1"/>
    </xf>
    <xf numFmtId="4" fontId="0" fillId="0" borderId="27" xfId="0" applyNumberFormat="1" applyBorder="1"/>
    <xf numFmtId="0" fontId="2" fillId="0" borderId="27" xfId="0" applyFont="1" applyBorder="1" applyAlignment="1">
      <alignment horizontal="center" vertical="center" wrapText="1"/>
    </xf>
    <xf numFmtId="0" fontId="2" fillId="0" borderId="27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 indent="3"/>
    </xf>
    <xf numFmtId="0" fontId="3" fillId="0" borderId="0" xfId="0" applyFont="1" applyAlignment="1">
      <alignment horizontal="left" vertical="center" wrapText="1" indent="5"/>
    </xf>
    <xf numFmtId="0" fontId="3" fillId="0" borderId="27" xfId="0" applyFont="1" applyBorder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9" fontId="3" fillId="0" borderId="27" xfId="0" applyNumberFormat="1" applyFont="1" applyBorder="1" applyAlignment="1">
      <alignment horizontal="center" vertical="center" wrapText="1"/>
    </xf>
    <xf numFmtId="14" fontId="0" fillId="0" borderId="27" xfId="0" applyNumberFormat="1" applyBorder="1"/>
    <xf numFmtId="0" fontId="0" fillId="0" borderId="45" xfId="0" applyBorder="1"/>
    <xf numFmtId="0" fontId="15" fillId="11" borderId="27" xfId="0" applyFont="1" applyFill="1" applyBorder="1" applyAlignment="1">
      <alignment vertical="center"/>
    </xf>
    <xf numFmtId="14" fontId="15" fillId="0" borderId="27" xfId="0" applyNumberFormat="1" applyFont="1" applyBorder="1"/>
    <xf numFmtId="165" fontId="15" fillId="0" borderId="27" xfId="11" applyFont="1" applyBorder="1"/>
    <xf numFmtId="0" fontId="7" fillId="0" borderId="27" xfId="0" applyFont="1" applyBorder="1" applyAlignment="1">
      <alignment horizontal="center" vertical="center" wrapText="1"/>
    </xf>
    <xf numFmtId="0" fontId="7" fillId="0" borderId="27" xfId="0" applyFont="1" applyBorder="1" applyAlignment="1">
      <alignment vertical="center" wrapText="1"/>
    </xf>
    <xf numFmtId="4" fontId="0" fillId="0" borderId="1" xfId="0" applyNumberFormat="1" applyBorder="1" applyAlignment="1">
      <alignment horizontal="center"/>
    </xf>
    <xf numFmtId="10" fontId="7" fillId="0" borderId="1" xfId="1" applyNumberFormat="1" applyFont="1" applyFill="1" applyBorder="1" applyAlignment="1">
      <alignment horizontal="center" vertical="center" wrapText="1"/>
    </xf>
    <xf numFmtId="9" fontId="7" fillId="0" borderId="1" xfId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/>
    </xf>
    <xf numFmtId="0" fontId="30" fillId="11" borderId="1" xfId="0" applyFont="1" applyFill="1" applyBorder="1"/>
    <xf numFmtId="165" fontId="30" fillId="11" borderId="1" xfId="11" applyFont="1" applyFill="1" applyBorder="1"/>
    <xf numFmtId="0" fontId="38" fillId="8" borderId="27" xfId="0" applyFont="1" applyFill="1" applyBorder="1" applyAlignment="1">
      <alignment vertical="top" wrapText="1" readingOrder="1"/>
    </xf>
    <xf numFmtId="1" fontId="15" fillId="0" borderId="27" xfId="0" applyNumberFormat="1" applyFont="1" applyBorder="1"/>
    <xf numFmtId="165" fontId="30" fillId="11" borderId="1" xfId="11" applyFont="1" applyFill="1" applyBorder="1" applyAlignment="1">
      <alignment horizontal="center"/>
    </xf>
    <xf numFmtId="0" fontId="5" fillId="11" borderId="27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165" fontId="5" fillId="11" borderId="27" xfId="11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9" fontId="7" fillId="0" borderId="1" xfId="1" applyFont="1" applyBorder="1" applyAlignment="1">
      <alignment horizontal="left" vertical="center" wrapText="1"/>
    </xf>
    <xf numFmtId="166" fontId="7" fillId="0" borderId="1" xfId="1" applyNumberFormat="1" applyFont="1" applyBorder="1" applyAlignment="1">
      <alignment horizontal="left" vertical="center" wrapText="1"/>
    </xf>
    <xf numFmtId="0" fontId="15" fillId="11" borderId="36" xfId="0" applyFont="1" applyFill="1" applyBorder="1" applyAlignment="1">
      <alignment horizontal="center"/>
    </xf>
    <xf numFmtId="0" fontId="0" fillId="2" borderId="1" xfId="0" applyFill="1" applyBorder="1"/>
    <xf numFmtId="165" fontId="0" fillId="0" borderId="0" xfId="0" applyNumberFormat="1"/>
    <xf numFmtId="0" fontId="30" fillId="0" borderId="46" xfId="0" applyFont="1" applyBorder="1"/>
    <xf numFmtId="0" fontId="30" fillId="0" borderId="47" xfId="0" applyFont="1" applyBorder="1" applyAlignment="1">
      <alignment horizontal="center"/>
    </xf>
    <xf numFmtId="0" fontId="30" fillId="0" borderId="48" xfId="0" applyFont="1" applyBorder="1"/>
    <xf numFmtId="0" fontId="30" fillId="0" borderId="27" xfId="0" applyFont="1" applyBorder="1"/>
    <xf numFmtId="0" fontId="30" fillId="0" borderId="50" xfId="0" applyFont="1" applyBorder="1" applyAlignment="1">
      <alignment horizontal="center"/>
    </xf>
    <xf numFmtId="0" fontId="30" fillId="0" borderId="51" xfId="0" applyFont="1" applyBorder="1"/>
    <xf numFmtId="0" fontId="30" fillId="0" borderId="36" xfId="0" applyFont="1" applyBorder="1"/>
    <xf numFmtId="0" fontId="7" fillId="0" borderId="7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9" fontId="7" fillId="0" borderId="27" xfId="0" applyNumberFormat="1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30" fillId="0" borderId="27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9" fontId="8" fillId="0" borderId="1" xfId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0" fontId="0" fillId="0" borderId="0" xfId="1" applyNumberFormat="1" applyFont="1" applyBorder="1" applyAlignment="1"/>
    <xf numFmtId="165" fontId="7" fillId="12" borderId="0" xfId="11" applyFont="1" applyFill="1"/>
    <xf numFmtId="9" fontId="0" fillId="0" borderId="27" xfId="0" applyNumberFormat="1" applyBorder="1" applyAlignment="1" applyProtection="1">
      <alignment horizontal="center"/>
      <protection hidden="1"/>
    </xf>
    <xf numFmtId="9" fontId="0" fillId="0" borderId="27" xfId="1" applyFont="1" applyBorder="1" applyAlignment="1" applyProtection="1">
      <alignment horizontal="center"/>
      <protection hidden="1"/>
    </xf>
    <xf numFmtId="9" fontId="0" fillId="0" borderId="3" xfId="1" applyFont="1" applyBorder="1" applyAlignment="1" applyProtection="1">
      <alignment horizontal="center"/>
      <protection hidden="1"/>
    </xf>
    <xf numFmtId="9" fontId="0" fillId="0" borderId="2" xfId="1" applyFont="1" applyBorder="1" applyAlignment="1" applyProtection="1">
      <alignment horizontal="center"/>
      <protection hidden="1"/>
    </xf>
    <xf numFmtId="10" fontId="0" fillId="0" borderId="27" xfId="1" applyNumberFormat="1" applyFont="1" applyBorder="1" applyAlignment="1" applyProtection="1">
      <alignment horizontal="center"/>
      <protection hidden="1"/>
    </xf>
    <xf numFmtId="9" fontId="0" fillId="0" borderId="27" xfId="1" applyFont="1" applyBorder="1" applyAlignment="1" applyProtection="1">
      <alignment horizontal="center" vertical="center"/>
      <protection hidden="1"/>
    </xf>
    <xf numFmtId="9" fontId="0" fillId="0" borderId="27" xfId="0" applyNumberFormat="1" applyBorder="1" applyAlignment="1" applyProtection="1">
      <alignment horizontal="center" vertical="center"/>
      <protection hidden="1"/>
    </xf>
    <xf numFmtId="9" fontId="0" fillId="0" borderId="24" xfId="1" applyFont="1" applyBorder="1" applyAlignment="1" applyProtection="1">
      <alignment horizontal="center"/>
      <protection hidden="1"/>
    </xf>
    <xf numFmtId="9" fontId="0" fillId="0" borderId="0" xfId="1" applyFont="1" applyBorder="1" applyAlignment="1" applyProtection="1">
      <alignment horizontal="center"/>
      <protection hidden="1"/>
    </xf>
    <xf numFmtId="166" fontId="0" fillId="0" borderId="27" xfId="1" applyNumberFormat="1" applyFont="1" applyBorder="1" applyAlignment="1" applyProtection="1">
      <alignment horizontal="center"/>
      <protection hidden="1"/>
    </xf>
    <xf numFmtId="9" fontId="0" fillId="0" borderId="0" xfId="0" applyNumberFormat="1" applyAlignment="1" applyProtection="1">
      <alignment horizontal="center"/>
      <protection hidden="1"/>
    </xf>
    <xf numFmtId="9" fontId="0" fillId="0" borderId="39" xfId="0" applyNumberFormat="1" applyBorder="1" applyAlignment="1" applyProtection="1">
      <alignment horizontal="center"/>
      <protection hidden="1"/>
    </xf>
    <xf numFmtId="9" fontId="0" fillId="0" borderId="39" xfId="1" applyFont="1" applyBorder="1" applyAlignment="1" applyProtection="1">
      <alignment horizontal="center"/>
      <protection hidden="1"/>
    </xf>
    <xf numFmtId="9" fontId="15" fillId="0" borderId="27" xfId="0" applyNumberFormat="1" applyFont="1" applyBorder="1" applyAlignment="1" applyProtection="1">
      <alignment horizontal="center"/>
      <protection hidden="1"/>
    </xf>
    <xf numFmtId="9" fontId="15" fillId="0" borderId="27" xfId="1" applyFont="1" applyFill="1" applyBorder="1" applyAlignment="1" applyProtection="1">
      <alignment horizontal="center"/>
      <protection hidden="1"/>
    </xf>
    <xf numFmtId="9" fontId="0" fillId="0" borderId="1" xfId="1" applyFont="1" applyBorder="1" applyProtection="1">
      <protection hidden="1"/>
    </xf>
    <xf numFmtId="0" fontId="0" fillId="0" borderId="1" xfId="0" applyBorder="1" applyProtection="1">
      <protection hidden="1"/>
    </xf>
    <xf numFmtId="1" fontId="0" fillId="0" borderId="1" xfId="0" applyNumberFormat="1" applyBorder="1" applyProtection="1">
      <protection hidden="1"/>
    </xf>
    <xf numFmtId="165" fontId="0" fillId="0" borderId="1" xfId="11" applyFont="1" applyBorder="1" applyProtection="1">
      <protection hidden="1"/>
    </xf>
    <xf numFmtId="165" fontId="0" fillId="0" borderId="1" xfId="11" applyFont="1" applyBorder="1" applyAlignment="1" applyProtection="1">
      <protection hidden="1"/>
    </xf>
    <xf numFmtId="0" fontId="0" fillId="8" borderId="1" xfId="0" applyFill="1" applyBorder="1" applyProtection="1">
      <protection hidden="1"/>
    </xf>
    <xf numFmtId="165" fontId="0" fillId="2" borderId="1" xfId="0" applyNumberFormat="1" applyFill="1" applyBorder="1" applyProtection="1">
      <protection hidden="1"/>
    </xf>
    <xf numFmtId="165" fontId="0" fillId="0" borderId="1" xfId="11" applyFont="1" applyFill="1" applyBorder="1" applyProtection="1">
      <protection hidden="1"/>
    </xf>
    <xf numFmtId="9" fontId="0" fillId="0" borderId="1" xfId="1" applyFont="1" applyFill="1" applyBorder="1" applyProtection="1">
      <protection hidden="1"/>
    </xf>
    <xf numFmtId="0" fontId="15" fillId="0" borderId="7" xfId="0" applyFont="1" applyBorder="1" applyProtection="1">
      <protection hidden="1"/>
    </xf>
    <xf numFmtId="0" fontId="15" fillId="0" borderId="5" xfId="0" applyFont="1" applyBorder="1" applyProtection="1">
      <protection hidden="1"/>
    </xf>
    <xf numFmtId="165" fontId="15" fillId="0" borderId="27" xfId="11" applyFont="1" applyBorder="1" applyProtection="1">
      <protection hidden="1"/>
    </xf>
    <xf numFmtId="0" fontId="15" fillId="0" borderId="0" xfId="0" applyFont="1" applyProtection="1">
      <protection hidden="1"/>
    </xf>
    <xf numFmtId="0" fontId="0" fillId="0" borderId="0" xfId="0" applyProtection="1">
      <protection hidden="1"/>
    </xf>
    <xf numFmtId="165" fontId="0" fillId="0" borderId="0" xfId="11" applyFont="1" applyProtection="1">
      <protection hidden="1"/>
    </xf>
    <xf numFmtId="165" fontId="14" fillId="7" borderId="1" xfId="0" applyNumberFormat="1" applyFont="1" applyFill="1" applyBorder="1" applyProtection="1">
      <protection hidden="1"/>
    </xf>
    <xf numFmtId="165" fontId="14" fillId="7" borderId="1" xfId="11" applyFont="1" applyFill="1" applyBorder="1" applyProtection="1">
      <protection hidden="1"/>
    </xf>
    <xf numFmtId="0" fontId="14" fillId="7" borderId="1" xfId="0" applyFont="1" applyFill="1" applyBorder="1" applyProtection="1">
      <protection hidden="1"/>
    </xf>
    <xf numFmtId="165" fontId="30" fillId="7" borderId="1" xfId="0" applyNumberFormat="1" applyFont="1" applyFill="1" applyBorder="1" applyProtection="1">
      <protection hidden="1"/>
    </xf>
    <xf numFmtId="165" fontId="36" fillId="7" borderId="1" xfId="11" applyFont="1" applyFill="1" applyBorder="1" applyAlignment="1" applyProtection="1">
      <alignment horizontal="center" vertical="center" wrapText="1"/>
      <protection hidden="1"/>
    </xf>
    <xf numFmtId="165" fontId="36" fillId="7" borderId="1" xfId="0" applyNumberFormat="1" applyFont="1" applyFill="1" applyBorder="1" applyAlignment="1" applyProtection="1">
      <alignment horizontal="center" vertical="center" wrapText="1"/>
      <protection hidden="1"/>
    </xf>
    <xf numFmtId="9" fontId="14" fillId="7" borderId="1" xfId="1" applyFont="1" applyFill="1" applyBorder="1" applyProtection="1">
      <protection hidden="1"/>
    </xf>
    <xf numFmtId="9" fontId="36" fillId="7" borderId="1" xfId="1" applyFont="1" applyFill="1" applyBorder="1" applyAlignment="1" applyProtection="1">
      <alignment horizontal="center" vertical="center" wrapText="1"/>
      <protection hidden="1"/>
    </xf>
    <xf numFmtId="9" fontId="25" fillId="0" borderId="1" xfId="1" applyFont="1" applyBorder="1" applyAlignment="1" applyProtection="1">
      <alignment vertical="center" wrapText="1"/>
      <protection hidden="1"/>
    </xf>
    <xf numFmtId="165" fontId="25" fillId="0" borderId="1" xfId="11" applyFont="1" applyBorder="1" applyAlignment="1" applyProtection="1">
      <alignment vertical="center" wrapText="1"/>
      <protection hidden="1"/>
    </xf>
    <xf numFmtId="9" fontId="7" fillId="0" borderId="15" xfId="11" applyNumberFormat="1" applyFont="1" applyBorder="1" applyAlignment="1" applyProtection="1">
      <alignment horizontal="center"/>
      <protection hidden="1"/>
    </xf>
    <xf numFmtId="165" fontId="7" fillId="0" borderId="15" xfId="11" applyFont="1" applyBorder="1" applyAlignment="1" applyProtection="1">
      <alignment horizontal="center"/>
      <protection hidden="1"/>
    </xf>
    <xf numFmtId="165" fontId="25" fillId="0" borderId="1" xfId="11" applyFont="1" applyBorder="1" applyAlignment="1" applyProtection="1">
      <alignment horizontal="right" vertical="center" wrapText="1"/>
      <protection hidden="1"/>
    </xf>
    <xf numFmtId="165" fontId="7" fillId="0" borderId="15" xfId="11" applyFont="1" applyBorder="1" applyAlignment="1" applyProtection="1">
      <alignment horizontal="right"/>
      <protection hidden="1"/>
    </xf>
    <xf numFmtId="9" fontId="25" fillId="0" borderId="1" xfId="1" applyFont="1" applyBorder="1" applyAlignment="1" applyProtection="1">
      <alignment horizontal="right" vertical="center" wrapText="1"/>
      <protection hidden="1"/>
    </xf>
    <xf numFmtId="9" fontId="7" fillId="0" borderId="15" xfId="1" applyFont="1" applyBorder="1" applyAlignment="1" applyProtection="1">
      <alignment horizontal="right"/>
      <protection hidden="1"/>
    </xf>
    <xf numFmtId="165" fontId="31" fillId="0" borderId="1" xfId="11" applyFont="1" applyBorder="1" applyAlignment="1" applyProtection="1">
      <alignment horizontal="right" vertical="center" wrapText="1"/>
      <protection hidden="1"/>
    </xf>
    <xf numFmtId="165" fontId="7" fillId="0" borderId="1" xfId="11" applyFont="1" applyBorder="1" applyAlignment="1" applyProtection="1">
      <alignment horizontal="right" vertical="top" wrapText="1"/>
      <protection hidden="1"/>
    </xf>
    <xf numFmtId="10" fontId="25" fillId="0" borderId="1" xfId="1" applyNumberFormat="1" applyFont="1" applyBorder="1" applyAlignment="1" applyProtection="1">
      <alignment horizontal="right" vertical="center" wrapText="1"/>
      <protection hidden="1"/>
    </xf>
    <xf numFmtId="9" fontId="25" fillId="0" borderId="19" xfId="1" applyFont="1" applyBorder="1" applyAlignment="1" applyProtection="1">
      <alignment horizontal="right" vertical="center" wrapText="1"/>
      <protection hidden="1"/>
    </xf>
    <xf numFmtId="165" fontId="7" fillId="0" borderId="20" xfId="11" applyFont="1" applyBorder="1" applyAlignment="1" applyProtection="1">
      <alignment horizontal="right"/>
      <protection hidden="1"/>
    </xf>
    <xf numFmtId="1" fontId="0" fillId="0" borderId="1" xfId="0" applyNumberFormat="1" applyBorder="1" applyAlignment="1" applyProtection="1">
      <alignment horizontal="center"/>
      <protection hidden="1"/>
    </xf>
    <xf numFmtId="9" fontId="0" fillId="0" borderId="1" xfId="1" applyFont="1" applyBorder="1" applyAlignment="1" applyProtection="1">
      <alignment horizontal="center"/>
      <protection hidden="1"/>
    </xf>
    <xf numFmtId="9" fontId="0" fillId="0" borderId="27" xfId="1" applyFont="1" applyBorder="1" applyAlignment="1" applyProtection="1">
      <alignment vertical="center"/>
      <protection hidden="1"/>
    </xf>
    <xf numFmtId="0" fontId="30" fillId="0" borderId="53" xfId="0" applyFont="1" applyBorder="1"/>
    <xf numFmtId="165" fontId="30" fillId="0" borderId="27" xfId="11" applyFont="1" applyBorder="1" applyProtection="1">
      <protection hidden="1"/>
    </xf>
    <xf numFmtId="0" fontId="30" fillId="0" borderId="27" xfId="0" applyFont="1" applyBorder="1" applyProtection="1">
      <protection hidden="1"/>
    </xf>
    <xf numFmtId="0" fontId="14" fillId="0" borderId="0" xfId="0" applyFont="1" applyProtection="1">
      <protection hidden="1"/>
    </xf>
    <xf numFmtId="165" fontId="30" fillId="0" borderId="27" xfId="0" applyNumberFormat="1" applyFont="1" applyBorder="1" applyProtection="1">
      <protection hidden="1"/>
    </xf>
    <xf numFmtId="0" fontId="30" fillId="0" borderId="0" xfId="0" applyFont="1" applyProtection="1">
      <protection hidden="1"/>
    </xf>
    <xf numFmtId="165" fontId="14" fillId="0" borderId="27" xfId="0" applyNumberFormat="1" applyFont="1" applyBorder="1" applyProtection="1">
      <protection hidden="1"/>
    </xf>
    <xf numFmtId="0" fontId="14" fillId="0" borderId="27" xfId="0" applyFont="1" applyBorder="1" applyProtection="1">
      <protection hidden="1"/>
    </xf>
    <xf numFmtId="165" fontId="5" fillId="0" borderId="15" xfId="11" applyFont="1" applyBorder="1" applyAlignment="1" applyProtection="1">
      <alignment horizontal="center"/>
      <protection hidden="1"/>
    </xf>
    <xf numFmtId="165" fontId="7" fillId="0" borderId="17" xfId="11" applyFont="1" applyBorder="1" applyAlignment="1" applyProtection="1">
      <alignment horizontal="center"/>
      <protection hidden="1"/>
    </xf>
    <xf numFmtId="165" fontId="5" fillId="0" borderId="1" xfId="11" applyFont="1" applyBorder="1" applyProtection="1">
      <protection hidden="1"/>
    </xf>
    <xf numFmtId="165" fontId="5" fillId="0" borderId="20" xfId="11" applyFont="1" applyBorder="1" applyAlignment="1" applyProtection="1">
      <alignment horizontal="center"/>
      <protection hidden="1"/>
    </xf>
    <xf numFmtId="4" fontId="31" fillId="0" borderId="1" xfId="0" applyNumberFormat="1" applyFont="1" applyBorder="1" applyAlignment="1" applyProtection="1">
      <alignment horizontal="right" vertical="center" wrapText="1"/>
      <protection hidden="1"/>
    </xf>
    <xf numFmtId="165" fontId="31" fillId="0" borderId="1" xfId="11" applyFont="1" applyBorder="1" applyAlignment="1" applyProtection="1">
      <alignment horizontal="center" vertical="center" wrapText="1"/>
      <protection hidden="1"/>
    </xf>
    <xf numFmtId="165" fontId="31" fillId="0" borderId="19" xfId="11" applyFont="1" applyBorder="1" applyAlignment="1" applyProtection="1">
      <alignment horizontal="center" vertical="center" wrapText="1"/>
      <protection hidden="1"/>
    </xf>
    <xf numFmtId="165" fontId="25" fillId="0" borderId="2" xfId="11" applyFont="1" applyBorder="1" applyAlignment="1" applyProtection="1">
      <alignment horizontal="right" vertical="center" wrapText="1"/>
      <protection hidden="1"/>
    </xf>
    <xf numFmtId="165" fontId="31" fillId="0" borderId="1" xfId="11" applyFont="1" applyBorder="1" applyAlignment="1" applyProtection="1">
      <alignment vertical="center"/>
      <protection locked="0"/>
    </xf>
    <xf numFmtId="165" fontId="7" fillId="0" borderId="1" xfId="11" applyFont="1" applyBorder="1" applyAlignment="1" applyProtection="1">
      <alignment vertical="center" wrapText="1"/>
      <protection locked="0"/>
    </xf>
    <xf numFmtId="165" fontId="7" fillId="0" borderId="1" xfId="11" applyFont="1" applyBorder="1" applyAlignment="1" applyProtection="1">
      <alignment vertical="center"/>
      <protection locked="0"/>
    </xf>
    <xf numFmtId="165" fontId="25" fillId="0" borderId="1" xfId="11" applyFont="1" applyBorder="1" applyAlignment="1" applyProtection="1">
      <alignment vertical="center" wrapText="1"/>
      <protection locked="0"/>
    </xf>
    <xf numFmtId="165" fontId="25" fillId="0" borderId="1" xfId="11" applyFont="1" applyBorder="1" applyAlignment="1" applyProtection="1">
      <alignment horizontal="right" vertical="center" wrapText="1"/>
      <protection locked="0"/>
    </xf>
    <xf numFmtId="165" fontId="31" fillId="0" borderId="1" xfId="11" applyFont="1" applyBorder="1" applyAlignment="1" applyProtection="1">
      <alignment horizontal="right" vertical="center" wrapText="1"/>
      <protection locked="0"/>
    </xf>
    <xf numFmtId="165" fontId="31" fillId="0" borderId="1" xfId="11" applyFont="1" applyBorder="1" applyAlignment="1" applyProtection="1">
      <alignment vertical="center" wrapText="1"/>
      <protection locked="0"/>
    </xf>
    <xf numFmtId="165" fontId="25" fillId="7" borderId="1" xfId="11" applyFont="1" applyFill="1" applyBorder="1" applyAlignment="1" applyProtection="1">
      <alignment horizontal="right" vertical="center" wrapText="1"/>
      <protection locked="0"/>
    </xf>
    <xf numFmtId="165" fontId="25" fillId="0" borderId="1" xfId="11" applyFont="1" applyBorder="1" applyAlignment="1" applyProtection="1">
      <alignment vertical="center"/>
      <protection locked="0"/>
    </xf>
    <xf numFmtId="165" fontId="7" fillId="0" borderId="0" xfId="11" applyFont="1" applyProtection="1">
      <protection locked="0"/>
    </xf>
    <xf numFmtId="165" fontId="25" fillId="0" borderId="1" xfId="11" applyFont="1" applyBorder="1" applyAlignment="1" applyProtection="1">
      <alignment horizontal="center" vertical="center" wrapText="1"/>
      <protection locked="0"/>
    </xf>
    <xf numFmtId="165" fontId="7" fillId="0" borderId="0" xfId="11" applyFont="1" applyProtection="1">
      <protection hidden="1"/>
    </xf>
    <xf numFmtId="0" fontId="14" fillId="0" borderId="27" xfId="0" applyFont="1" applyBorder="1" applyAlignment="1" applyProtection="1">
      <alignment horizontal="left" vertical="center"/>
      <protection locked="0"/>
    </xf>
    <xf numFmtId="0" fontId="14" fillId="0" borderId="27" xfId="0" applyFont="1" applyBorder="1" applyProtection="1">
      <protection locked="0"/>
    </xf>
    <xf numFmtId="0" fontId="30" fillId="0" borderId="27" xfId="0" applyFont="1" applyBorder="1" applyAlignment="1" applyProtection="1">
      <alignment horizontal="left" vertical="center"/>
      <protection locked="0"/>
    </xf>
    <xf numFmtId="165" fontId="14" fillId="0" borderId="27" xfId="0" applyNumberFormat="1" applyFont="1" applyBorder="1" applyProtection="1">
      <protection locked="0"/>
    </xf>
    <xf numFmtId="0" fontId="30" fillId="0" borderId="39" xfId="0" applyFont="1" applyBorder="1" applyAlignment="1" applyProtection="1">
      <alignment horizontal="left" vertical="center"/>
      <protection locked="0"/>
    </xf>
    <xf numFmtId="0" fontId="14" fillId="0" borderId="39" xfId="0" applyFont="1" applyBorder="1" applyProtection="1"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vertical="center" wrapText="1"/>
      <protection locked="0"/>
    </xf>
    <xf numFmtId="1" fontId="7" fillId="0" borderId="6" xfId="11" applyNumberFormat="1" applyFont="1" applyBorder="1" applyAlignment="1" applyProtection="1">
      <alignment vertical="center" wrapText="1"/>
      <protection locked="0"/>
    </xf>
    <xf numFmtId="165" fontId="7" fillId="0" borderId="27" xfId="11" applyFont="1" applyBorder="1" applyAlignment="1" applyProtection="1">
      <alignment vertical="center" wrapText="1"/>
      <protection locked="0"/>
    </xf>
    <xf numFmtId="0" fontId="7" fillId="0" borderId="7" xfId="0" applyFont="1" applyBorder="1" applyAlignment="1" applyProtection="1">
      <alignment vertical="center" wrapText="1"/>
      <protection locked="0"/>
    </xf>
    <xf numFmtId="9" fontId="7" fillId="0" borderId="5" xfId="1" applyFont="1" applyBorder="1" applyAlignment="1" applyProtection="1">
      <alignment vertical="center" wrapText="1"/>
      <protection locked="0"/>
    </xf>
    <xf numFmtId="1" fontId="7" fillId="0" borderId="1" xfId="11" applyNumberFormat="1" applyFont="1" applyBorder="1" applyAlignment="1" applyProtection="1">
      <alignment vertical="center" wrapText="1"/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7" fillId="0" borderId="39" xfId="0" applyFont="1" applyBorder="1" applyAlignment="1" applyProtection="1">
      <alignment horizontal="center" vertical="center" wrapText="1"/>
      <protection locked="0"/>
    </xf>
    <xf numFmtId="0" fontId="7" fillId="0" borderId="39" xfId="0" applyFont="1" applyBorder="1" applyAlignment="1" applyProtection="1">
      <alignment vertical="center" wrapText="1"/>
      <protection locked="0"/>
    </xf>
    <xf numFmtId="1" fontId="7" fillId="0" borderId="2" xfId="11" applyNumberFormat="1" applyFont="1" applyBorder="1" applyAlignment="1" applyProtection="1">
      <alignment vertical="center" wrapText="1"/>
      <protection locked="0"/>
    </xf>
    <xf numFmtId="165" fontId="7" fillId="0" borderId="39" xfId="11" applyFont="1" applyBorder="1" applyAlignment="1" applyProtection="1">
      <alignment vertical="center" wrapText="1"/>
      <protection locked="0"/>
    </xf>
    <xf numFmtId="165" fontId="14" fillId="12" borderId="1" xfId="11" applyFont="1" applyFill="1" applyBorder="1" applyProtection="1">
      <protection locked="0"/>
    </xf>
    <xf numFmtId="0" fontId="0" fillId="12" borderId="1" xfId="0" applyFill="1" applyBorder="1" applyProtection="1">
      <protection locked="0"/>
    </xf>
    <xf numFmtId="0" fontId="0" fillId="13" borderId="1" xfId="0" applyFill="1" applyBorder="1" applyProtection="1">
      <protection locked="0"/>
    </xf>
    <xf numFmtId="165" fontId="0" fillId="13" borderId="1" xfId="11" applyFont="1" applyFill="1" applyBorder="1" applyProtection="1">
      <protection locked="0"/>
    </xf>
    <xf numFmtId="0" fontId="32" fillId="13" borderId="1" xfId="0" applyFont="1" applyFill="1" applyBorder="1" applyProtection="1">
      <protection locked="0"/>
    </xf>
    <xf numFmtId="0" fontId="0" fillId="13" borderId="0" xfId="0" applyFill="1" applyProtection="1">
      <protection locked="0"/>
    </xf>
    <xf numFmtId="0" fontId="0" fillId="13" borderId="1" xfId="0" applyFill="1" applyBorder="1" applyAlignment="1" applyProtection="1">
      <alignment wrapText="1"/>
      <protection locked="0"/>
    </xf>
    <xf numFmtId="0" fontId="0" fillId="0" borderId="0" xfId="0" applyProtection="1">
      <protection locked="0"/>
    </xf>
    <xf numFmtId="165" fontId="0" fillId="0" borderId="1" xfId="11" applyFont="1" applyBorder="1" applyAlignment="1" applyProtection="1">
      <alignment horizontal="left"/>
      <protection hidden="1"/>
    </xf>
    <xf numFmtId="0" fontId="0" fillId="0" borderId="1" xfId="0" applyBorder="1" applyProtection="1">
      <protection locked="0"/>
    </xf>
    <xf numFmtId="0" fontId="39" fillId="13" borderId="1" xfId="0" applyFont="1" applyFill="1" applyBorder="1" applyAlignment="1" applyProtection="1">
      <alignment horizontal="left"/>
      <protection locked="0"/>
    </xf>
    <xf numFmtId="0" fontId="0" fillId="14" borderId="1" xfId="0" applyFill="1" applyBorder="1" applyProtection="1">
      <protection locked="0"/>
    </xf>
    <xf numFmtId="0" fontId="29" fillId="7" borderId="1" xfId="0" applyFont="1" applyFill="1" applyBorder="1" applyAlignment="1">
      <alignment horizontal="left" vertical="center" wrapText="1"/>
    </xf>
    <xf numFmtId="10" fontId="29" fillId="7" borderId="1" xfId="0" applyNumberFormat="1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vertical="center" wrapText="1"/>
    </xf>
    <xf numFmtId="9" fontId="8" fillId="7" borderId="1" xfId="0" applyNumberFormat="1" applyFont="1" applyFill="1" applyBorder="1" applyAlignment="1">
      <alignment vertical="center" wrapText="1"/>
    </xf>
    <xf numFmtId="10" fontId="8" fillId="7" borderId="1" xfId="0" applyNumberFormat="1" applyFont="1" applyFill="1" applyBorder="1" applyAlignment="1">
      <alignment vertical="center" wrapText="1"/>
    </xf>
    <xf numFmtId="9" fontId="8" fillId="7" borderId="1" xfId="0" applyNumberFormat="1" applyFont="1" applyFill="1" applyBorder="1" applyAlignment="1">
      <alignment horizontal="right" vertical="center" wrapText="1"/>
    </xf>
    <xf numFmtId="49" fontId="8" fillId="7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9" fontId="3" fillId="7" borderId="1" xfId="0" applyNumberFormat="1" applyFont="1" applyFill="1" applyBorder="1" applyAlignment="1">
      <alignment vertical="center" wrapText="1"/>
    </xf>
    <xf numFmtId="9" fontId="3" fillId="7" borderId="1" xfId="0" applyNumberFormat="1" applyFont="1" applyFill="1" applyBorder="1" applyAlignment="1">
      <alignment vertical="center"/>
    </xf>
    <xf numFmtId="9" fontId="3" fillId="7" borderId="1" xfId="0" applyNumberFormat="1" applyFont="1" applyFill="1" applyBorder="1" applyAlignment="1">
      <alignment horizontal="right" vertical="center" wrapText="1"/>
    </xf>
    <xf numFmtId="0" fontId="26" fillId="7" borderId="1" xfId="0" applyFont="1" applyFill="1" applyBorder="1" applyAlignment="1">
      <alignment vertical="center" wrapText="1"/>
    </xf>
    <xf numFmtId="9" fontId="26" fillId="7" borderId="1" xfId="0" applyNumberFormat="1" applyFont="1" applyFill="1" applyBorder="1" applyAlignment="1">
      <alignment vertical="center" wrapText="1"/>
    </xf>
    <xf numFmtId="9" fontId="0" fillId="0" borderId="1" xfId="0" applyNumberFormat="1" applyBorder="1" applyProtection="1"/>
    <xf numFmtId="9" fontId="0" fillId="0" borderId="1" xfId="1" applyFont="1" applyBorder="1" applyProtection="1"/>
    <xf numFmtId="165" fontId="0" fillId="0" borderId="1" xfId="0" applyNumberFormat="1" applyBorder="1" applyProtection="1"/>
    <xf numFmtId="0" fontId="3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15" fillId="11" borderId="41" xfId="0" applyFont="1" applyFill="1" applyBorder="1" applyAlignment="1">
      <alignment horizontal="center" vertical="center"/>
    </xf>
    <xf numFmtId="0" fontId="15" fillId="11" borderId="42" xfId="0" applyFont="1" applyFill="1" applyBorder="1" applyAlignment="1">
      <alignment horizontal="center" vertical="center"/>
    </xf>
    <xf numFmtId="0" fontId="15" fillId="11" borderId="39" xfId="0" applyFont="1" applyFill="1" applyBorder="1" applyAlignment="1">
      <alignment horizontal="center" vertical="center"/>
    </xf>
    <xf numFmtId="0" fontId="15" fillId="11" borderId="10" xfId="0" applyFont="1" applyFill="1" applyBorder="1" applyAlignment="1">
      <alignment horizontal="center" vertical="center"/>
    </xf>
    <xf numFmtId="0" fontId="31" fillId="9" borderId="14" xfId="0" applyFont="1" applyFill="1" applyBorder="1" applyAlignment="1">
      <alignment horizontal="center" vertical="center" wrapText="1"/>
    </xf>
    <xf numFmtId="0" fontId="31" fillId="9" borderId="15" xfId="0" applyFont="1" applyFill="1" applyBorder="1" applyAlignment="1">
      <alignment horizontal="center" vertical="center" wrapText="1"/>
    </xf>
    <xf numFmtId="165" fontId="31" fillId="9" borderId="1" xfId="11" applyFont="1" applyFill="1" applyBorder="1" applyAlignment="1">
      <alignment horizontal="center" vertical="center"/>
    </xf>
    <xf numFmtId="0" fontId="31" fillId="9" borderId="2" xfId="0" applyFont="1" applyFill="1" applyBorder="1" applyAlignment="1">
      <alignment horizontal="center" vertical="center"/>
    </xf>
    <xf numFmtId="0" fontId="31" fillId="9" borderId="11" xfId="0" applyFont="1" applyFill="1" applyBorder="1" applyAlignment="1">
      <alignment horizontal="center" vertical="center"/>
    </xf>
    <xf numFmtId="0" fontId="31" fillId="9" borderId="14" xfId="0" applyFont="1" applyFill="1" applyBorder="1" applyAlignment="1">
      <alignment horizontal="center" vertical="center"/>
    </xf>
    <xf numFmtId="0" fontId="31" fillId="9" borderId="13" xfId="0" applyFont="1" applyFill="1" applyBorder="1" applyAlignment="1">
      <alignment horizontal="center" vertical="center"/>
    </xf>
    <xf numFmtId="0" fontId="31" fillId="9" borderId="15" xfId="0" applyFont="1" applyFill="1" applyBorder="1" applyAlignment="1">
      <alignment horizontal="center" vertical="center"/>
    </xf>
    <xf numFmtId="0" fontId="31" fillId="9" borderId="11" xfId="0" applyFont="1" applyFill="1" applyBorder="1" applyAlignment="1">
      <alignment horizontal="center" vertical="center" wrapText="1"/>
    </xf>
    <xf numFmtId="0" fontId="31" fillId="9" borderId="12" xfId="0" applyFont="1" applyFill="1" applyBorder="1" applyAlignment="1">
      <alignment horizontal="center" vertical="center" wrapText="1"/>
    </xf>
    <xf numFmtId="0" fontId="31" fillId="9" borderId="13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30" fillId="0" borderId="28" xfId="0" applyFont="1" applyBorder="1" applyAlignment="1" applyProtection="1">
      <alignment horizontal="center"/>
      <protection hidden="1"/>
    </xf>
    <xf numFmtId="0" fontId="30" fillId="0" borderId="30" xfId="0" applyFont="1" applyBorder="1" applyAlignment="1" applyProtection="1">
      <alignment horizontal="center"/>
      <protection hidden="1"/>
    </xf>
    <xf numFmtId="0" fontId="30" fillId="0" borderId="29" xfId="0" applyFont="1" applyBorder="1" applyAlignment="1" applyProtection="1">
      <alignment horizontal="center"/>
      <protection hidden="1"/>
    </xf>
    <xf numFmtId="0" fontId="30" fillId="0" borderId="28" xfId="0" applyFont="1" applyBorder="1" applyAlignment="1" applyProtection="1">
      <alignment horizontal="center" vertical="center"/>
      <protection hidden="1"/>
    </xf>
    <xf numFmtId="0" fontId="30" fillId="0" borderId="30" xfId="0" applyFont="1" applyBorder="1" applyAlignment="1" applyProtection="1">
      <alignment horizontal="center" vertical="center"/>
      <protection hidden="1"/>
    </xf>
    <xf numFmtId="0" fontId="30" fillId="0" borderId="29" xfId="0" applyFont="1" applyBorder="1" applyAlignment="1" applyProtection="1">
      <alignment horizontal="center" vertical="center"/>
      <protection hidden="1"/>
    </xf>
    <xf numFmtId="0" fontId="30" fillId="11" borderId="0" xfId="0" applyFont="1" applyFill="1" applyAlignment="1">
      <alignment horizontal="center"/>
    </xf>
    <xf numFmtId="0" fontId="14" fillId="0" borderId="32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30" fillId="0" borderId="32" xfId="0" applyFont="1" applyBorder="1" applyAlignment="1">
      <alignment horizontal="left" vertical="center"/>
    </xf>
    <xf numFmtId="0" fontId="30" fillId="0" borderId="52" xfId="0" applyFont="1" applyBorder="1" applyAlignment="1">
      <alignment horizontal="left" vertical="center"/>
    </xf>
    <xf numFmtId="0" fontId="30" fillId="0" borderId="33" xfId="0" applyFont="1" applyBorder="1" applyAlignment="1">
      <alignment horizontal="left" vertical="center"/>
    </xf>
    <xf numFmtId="0" fontId="30" fillId="0" borderId="34" xfId="0" applyFont="1" applyBorder="1" applyAlignment="1">
      <alignment horizontal="left" vertical="center"/>
    </xf>
    <xf numFmtId="0" fontId="30" fillId="0" borderId="39" xfId="0" applyFont="1" applyBorder="1" applyAlignment="1">
      <alignment horizontal="left" vertical="center"/>
    </xf>
    <xf numFmtId="0" fontId="30" fillId="0" borderId="26" xfId="0" applyFont="1" applyBorder="1" applyAlignment="1">
      <alignment horizontal="left" vertical="center"/>
    </xf>
    <xf numFmtId="0" fontId="30" fillId="0" borderId="10" xfId="0" applyFont="1" applyBorder="1" applyAlignment="1">
      <alignment horizontal="left" vertical="center"/>
    </xf>
    <xf numFmtId="0" fontId="14" fillId="0" borderId="49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5" fillId="0" borderId="41" xfId="0" applyFont="1" applyBorder="1" applyAlignment="1" applyProtection="1">
      <alignment horizontal="center"/>
      <protection hidden="1"/>
    </xf>
    <xf numFmtId="0" fontId="15" fillId="0" borderId="44" xfId="0" applyFont="1" applyBorder="1" applyAlignment="1" applyProtection="1">
      <alignment horizontal="center"/>
      <protection hidden="1"/>
    </xf>
    <xf numFmtId="0" fontId="15" fillId="0" borderId="42" xfId="0" applyFont="1" applyBorder="1" applyAlignment="1" applyProtection="1">
      <alignment horizontal="center"/>
      <protection hidden="1"/>
    </xf>
    <xf numFmtId="0" fontId="15" fillId="0" borderId="28" xfId="0" applyFont="1" applyBorder="1" applyAlignment="1" applyProtection="1">
      <alignment horizontal="center"/>
      <protection hidden="1"/>
    </xf>
    <xf numFmtId="0" fontId="15" fillId="0" borderId="30" xfId="0" applyFont="1" applyBorder="1" applyAlignment="1" applyProtection="1">
      <alignment horizontal="center"/>
      <protection hidden="1"/>
    </xf>
    <xf numFmtId="0" fontId="15" fillId="0" borderId="29" xfId="0" applyFont="1" applyBorder="1" applyAlignment="1" applyProtection="1">
      <alignment horizontal="center"/>
      <protection hidden="1"/>
    </xf>
    <xf numFmtId="0" fontId="30" fillId="11" borderId="35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165" fontId="15" fillId="13" borderId="5" xfId="0" applyNumberFormat="1" applyFont="1" applyFill="1" applyBorder="1" applyAlignment="1" applyProtection="1">
      <alignment horizontal="left"/>
      <protection locked="0"/>
    </xf>
    <xf numFmtId="165" fontId="15" fillId="13" borderId="6" xfId="0" applyNumberFormat="1" applyFont="1" applyFill="1" applyBorder="1" applyAlignment="1" applyProtection="1">
      <alignment horizontal="left"/>
      <protection locked="0"/>
    </xf>
    <xf numFmtId="165" fontId="15" fillId="13" borderId="7" xfId="0" applyNumberFormat="1" applyFont="1" applyFill="1" applyBorder="1" applyAlignment="1" applyProtection="1">
      <alignment horizontal="left"/>
      <protection locked="0"/>
    </xf>
    <xf numFmtId="9" fontId="0" fillId="0" borderId="23" xfId="1" applyFont="1" applyBorder="1" applyAlignment="1">
      <alignment horizontal="center"/>
    </xf>
    <xf numFmtId="9" fontId="0" fillId="0" borderId="45" xfId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38" xfId="1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165" fontId="15" fillId="0" borderId="28" xfId="11" applyFont="1" applyBorder="1" applyAlignment="1" applyProtection="1">
      <alignment horizontal="center"/>
      <protection hidden="1"/>
    </xf>
    <xf numFmtId="165" fontId="15" fillId="0" borderId="30" xfId="11" applyFont="1" applyBorder="1" applyAlignment="1" applyProtection="1">
      <alignment horizontal="center"/>
      <protection hidden="1"/>
    </xf>
    <xf numFmtId="165" fontId="15" fillId="0" borderId="29" xfId="11" applyFont="1" applyBorder="1" applyAlignment="1" applyProtection="1">
      <alignment horizontal="center"/>
      <protection hidden="1"/>
    </xf>
    <xf numFmtId="9" fontId="0" fillId="0" borderId="31" xfId="0" applyNumberFormat="1" applyBorder="1" applyAlignment="1" applyProtection="1">
      <alignment horizontal="center" vertical="center"/>
      <protection hidden="1"/>
    </xf>
    <xf numFmtId="0" fontId="0" fillId="0" borderId="17" xfId="0" applyBorder="1" applyAlignment="1" applyProtection="1">
      <alignment horizontal="center" vertical="center"/>
      <protection hidden="1"/>
    </xf>
    <xf numFmtId="9" fontId="0" fillId="0" borderId="32" xfId="0" applyNumberFormat="1" applyBorder="1" applyAlignment="1" applyProtection="1">
      <alignment horizontal="center" vertical="center"/>
      <protection hidden="1"/>
    </xf>
    <xf numFmtId="0" fontId="0" fillId="0" borderId="33" xfId="0" applyBorder="1" applyAlignment="1" applyProtection="1">
      <alignment horizontal="center" vertical="center"/>
      <protection hidden="1"/>
    </xf>
    <xf numFmtId="0" fontId="0" fillId="0" borderId="34" xfId="0" applyBorder="1" applyAlignment="1" applyProtection="1">
      <alignment horizontal="center" vertical="center"/>
      <protection hidden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9" fontId="15" fillId="0" borderId="28" xfId="0" applyNumberFormat="1" applyFont="1" applyBorder="1" applyAlignment="1" applyProtection="1">
      <alignment horizontal="center"/>
      <protection hidden="1"/>
    </xf>
    <xf numFmtId="9" fontId="15" fillId="0" borderId="30" xfId="0" applyNumberFormat="1" applyFont="1" applyBorder="1" applyAlignment="1" applyProtection="1">
      <alignment horizontal="center"/>
      <protection hidden="1"/>
    </xf>
    <xf numFmtId="9" fontId="15" fillId="0" borderId="29" xfId="0" applyNumberFormat="1" applyFont="1" applyBorder="1" applyAlignment="1" applyProtection="1">
      <alignment horizontal="center"/>
      <protection hidden="1"/>
    </xf>
    <xf numFmtId="0" fontId="0" fillId="0" borderId="43" xfId="0" applyBorder="1" applyAlignment="1" applyProtection="1">
      <alignment horizontal="center" vertical="center"/>
      <protection hidden="1"/>
    </xf>
    <xf numFmtId="0" fontId="15" fillId="0" borderId="41" xfId="0" applyFont="1" applyBorder="1" applyAlignment="1">
      <alignment horizontal="center"/>
    </xf>
    <xf numFmtId="0" fontId="15" fillId="0" borderId="44" xfId="0" applyFont="1" applyBorder="1" applyAlignment="1">
      <alignment horizontal="center"/>
    </xf>
    <xf numFmtId="0" fontId="15" fillId="0" borderId="42" xfId="0" applyFont="1" applyBorder="1" applyAlignment="1">
      <alignment horizontal="center"/>
    </xf>
    <xf numFmtId="9" fontId="15" fillId="0" borderId="35" xfId="0" applyNumberFormat="1" applyFont="1" applyBorder="1" applyAlignment="1" applyProtection="1">
      <alignment horizontal="center" vertical="center"/>
      <protection hidden="1"/>
    </xf>
    <xf numFmtId="0" fontId="15" fillId="0" borderId="8" xfId="0" applyFont="1" applyBorder="1" applyAlignment="1" applyProtection="1">
      <alignment horizontal="center" vertical="center"/>
      <protection hidden="1"/>
    </xf>
    <xf numFmtId="9" fontId="15" fillId="0" borderId="32" xfId="0" applyNumberFormat="1" applyFont="1" applyBorder="1" applyAlignment="1" applyProtection="1">
      <alignment horizontal="center" vertical="center"/>
      <protection hidden="1"/>
    </xf>
    <xf numFmtId="9" fontId="15" fillId="0" borderId="34" xfId="0" applyNumberFormat="1" applyFont="1" applyBorder="1" applyAlignment="1" applyProtection="1">
      <alignment horizontal="center" vertical="center"/>
      <protection hidden="1"/>
    </xf>
    <xf numFmtId="9" fontId="15" fillId="0" borderId="28" xfId="0" applyNumberFormat="1" applyFont="1" applyBorder="1" applyAlignment="1">
      <alignment horizontal="center"/>
    </xf>
    <xf numFmtId="9" fontId="34" fillId="0" borderId="39" xfId="0" applyNumberFormat="1" applyFont="1" applyBorder="1" applyAlignment="1" applyProtection="1">
      <alignment horizontal="center" vertical="center"/>
      <protection hidden="1"/>
    </xf>
    <xf numFmtId="9" fontId="34" fillId="0" borderId="26" xfId="0" applyNumberFormat="1" applyFont="1" applyBorder="1" applyAlignment="1" applyProtection="1">
      <alignment horizontal="center" vertical="center"/>
      <protection hidden="1"/>
    </xf>
    <xf numFmtId="9" fontId="34" fillId="0" borderId="10" xfId="0" applyNumberFormat="1" applyFont="1" applyBorder="1" applyAlignment="1" applyProtection="1">
      <alignment horizontal="center" vertical="center"/>
      <protection hidden="1"/>
    </xf>
    <xf numFmtId="0" fontId="0" fillId="0" borderId="3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39" xfId="1" applyFont="1" applyBorder="1" applyAlignment="1" applyProtection="1">
      <alignment horizontal="center" vertical="center"/>
      <protection hidden="1"/>
    </xf>
    <xf numFmtId="9" fontId="0" fillId="0" borderId="26" xfId="1" applyFont="1" applyBorder="1" applyAlignment="1" applyProtection="1">
      <alignment horizontal="center" vertical="center"/>
      <protection hidden="1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0" fontId="5" fillId="7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 indent="3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0" fontId="29" fillId="7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0" fontId="5" fillId="0" borderId="40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textRotation="90" wrapText="1"/>
    </xf>
    <xf numFmtId="0" fontId="15" fillId="0" borderId="4" xfId="0" applyFont="1" applyBorder="1" applyAlignment="1">
      <alignment horizontal="center" textRotation="90" wrapText="1"/>
    </xf>
    <xf numFmtId="0" fontId="15" fillId="0" borderId="3" xfId="0" applyFont="1" applyBorder="1" applyAlignment="1">
      <alignment horizontal="center" textRotation="90" wrapText="1"/>
    </xf>
    <xf numFmtId="9" fontId="25" fillId="0" borderId="28" xfId="0" applyNumberFormat="1" applyFont="1" applyBorder="1" applyAlignment="1">
      <alignment horizontal="center" vertical="center" wrapText="1"/>
    </xf>
    <xf numFmtId="9" fontId="25" fillId="0" borderId="29" xfId="0" applyNumberFormat="1" applyFont="1" applyBorder="1" applyAlignment="1">
      <alignment horizontal="center" vertical="center" wrapText="1"/>
    </xf>
  </cellXfs>
  <cellStyles count="12">
    <cellStyle name="20% - Accent3 2" xfId="3"/>
    <cellStyle name="Calculation 2" xfId="4"/>
    <cellStyle name="Comma" xfId="11" builtinId="3"/>
    <cellStyle name="Comma 2" xfId="5"/>
    <cellStyle name="Comma 3" xfId="6"/>
    <cellStyle name="Currency 2" xfId="7"/>
    <cellStyle name="Input 2" xfId="8"/>
    <cellStyle name="Normal" xfId="0" builtinId="0"/>
    <cellStyle name="Normal 2" xfId="2"/>
    <cellStyle name="Normal 3" xfId="9"/>
    <cellStyle name="Normal 4" xfId="10"/>
    <cellStyle name="Percent" xfId="1" builtinId="5"/>
  </cellStyles>
  <dxfs count="74"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1005725</xdr:colOff>
      <xdr:row>0</xdr:row>
      <xdr:rowOff>679450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262CA7-A572-4786-9425-7A80A191CBE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352175" cy="679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681875</xdr:colOff>
      <xdr:row>0</xdr:row>
      <xdr:rowOff>781050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894F0C-9DBF-49FF-A2DC-56BA671B469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352175" cy="781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1005725</xdr:colOff>
      <xdr:row>0</xdr:row>
      <xdr:rowOff>679450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EFDA6A-5FE0-4542-B216-5B9107A3EB6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352175" cy="679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279400</xdr:colOff>
      <xdr:row>0</xdr:row>
      <xdr:rowOff>0</xdr:rowOff>
    </xdr:from>
    <xdr:to>
      <xdr:col>2</xdr:col>
      <xdr:colOff>279400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70A0-47AF-425D-BFFC-C7CD6DDC36A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62050" y="0"/>
          <a:ext cx="4133850" cy="641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D28"/>
  <sheetViews>
    <sheetView workbookViewId="0">
      <selection activeCell="L20" sqref="L20"/>
    </sheetView>
  </sheetViews>
  <sheetFormatPr defaultRowHeight="14"/>
  <cols>
    <col min="1" max="1" width="8.7265625" style="26"/>
    <col min="2" max="2" width="16.36328125" style="26" bestFit="1" customWidth="1"/>
    <col min="3" max="3" width="21.7265625" style="26" bestFit="1" customWidth="1"/>
    <col min="4" max="4" width="28.6328125" style="26" bestFit="1" customWidth="1"/>
    <col min="5" max="16384" width="8.7265625" style="26"/>
  </cols>
  <sheetData>
    <row r="1" spans="2:4">
      <c r="B1" s="302" t="s">
        <v>313</v>
      </c>
      <c r="C1" s="302"/>
      <c r="D1" s="302"/>
    </row>
    <row r="2" spans="2:4">
      <c r="B2" s="303"/>
      <c r="C2" s="303"/>
      <c r="D2" s="303"/>
    </row>
    <row r="3" spans="2:4" ht="14.5" thickBot="1"/>
    <row r="4" spans="2:4" ht="15" thickBot="1">
      <c r="B4" s="138" t="s">
        <v>314</v>
      </c>
      <c r="C4" s="113"/>
    </row>
    <row r="5" spans="2:4" ht="15" thickBot="1">
      <c r="B5" s="138" t="s">
        <v>315</v>
      </c>
      <c r="C5" s="113"/>
    </row>
    <row r="6" spans="2:4" ht="15" thickBot="1">
      <c r="B6" s="138" t="s">
        <v>316</v>
      </c>
      <c r="C6" s="113"/>
    </row>
    <row r="7" spans="2:4" ht="15" thickBot="1">
      <c r="B7" s="138" t="s">
        <v>317</v>
      </c>
      <c r="C7" s="139"/>
    </row>
    <row r="8" spans="2:4" ht="15" thickBot="1">
      <c r="B8" s="138" t="s">
        <v>318</v>
      </c>
      <c r="C8" s="129"/>
    </row>
    <row r="9" spans="2:4" ht="15" thickBot="1">
      <c r="B9" s="138" t="s">
        <v>319</v>
      </c>
      <c r="C9" s="128"/>
    </row>
    <row r="10" spans="2:4" ht="15" thickBot="1">
      <c r="B10" s="138" t="s">
        <v>322</v>
      </c>
      <c r="C10" s="113"/>
    </row>
    <row r="13" spans="2:4">
      <c r="B13" s="135" t="s">
        <v>470</v>
      </c>
      <c r="C13" s="135" t="s">
        <v>320</v>
      </c>
      <c r="D13" s="135" t="s">
        <v>321</v>
      </c>
    </row>
    <row r="14" spans="2:4">
      <c r="B14" s="17"/>
      <c r="C14" s="81"/>
      <c r="D14" s="81"/>
    </row>
    <row r="15" spans="2:4">
      <c r="B15" s="17"/>
      <c r="C15" s="81"/>
      <c r="D15" s="81"/>
    </row>
    <row r="16" spans="2:4">
      <c r="B16" s="17"/>
      <c r="C16" s="81"/>
      <c r="D16" s="81"/>
    </row>
    <row r="17" spans="2:4">
      <c r="B17" s="17"/>
      <c r="C17" s="81"/>
      <c r="D17" s="81"/>
    </row>
    <row r="18" spans="2:4">
      <c r="B18" s="17"/>
      <c r="C18" s="81"/>
      <c r="D18" s="81"/>
    </row>
    <row r="19" spans="2:4">
      <c r="B19" s="17"/>
      <c r="C19" s="81"/>
      <c r="D19" s="81"/>
    </row>
    <row r="20" spans="2:4">
      <c r="B20" s="17"/>
      <c r="C20" s="81"/>
      <c r="D20" s="81"/>
    </row>
    <row r="21" spans="2:4">
      <c r="B21" s="17"/>
      <c r="C21" s="81"/>
      <c r="D21" s="81"/>
    </row>
    <row r="22" spans="2:4">
      <c r="B22" s="17"/>
      <c r="C22" s="81"/>
      <c r="D22" s="81"/>
    </row>
    <row r="23" spans="2:4">
      <c r="B23" s="17"/>
      <c r="C23" s="81"/>
      <c r="D23" s="81"/>
    </row>
    <row r="24" spans="2:4">
      <c r="B24" s="17"/>
      <c r="C24" s="81"/>
      <c r="D24" s="81"/>
    </row>
    <row r="25" spans="2:4">
      <c r="B25" s="17"/>
      <c r="C25" s="81"/>
      <c r="D25" s="81"/>
    </row>
    <row r="26" spans="2:4">
      <c r="B26" s="136" t="s">
        <v>102</v>
      </c>
      <c r="C26" s="137">
        <f>SUM(C14:C25)</f>
        <v>0</v>
      </c>
      <c r="D26" s="137">
        <f>SUM(D14:D25)</f>
        <v>0</v>
      </c>
    </row>
    <row r="28" spans="2:4">
      <c r="C28" s="26" t="s">
        <v>423</v>
      </c>
      <c r="D28" s="26" t="s">
        <v>427</v>
      </c>
    </row>
  </sheetData>
  <mergeCells count="2">
    <mergeCell ref="B1:D1"/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D28"/>
  <sheetViews>
    <sheetView workbookViewId="0">
      <selection activeCell="B20" sqref="B20"/>
    </sheetView>
  </sheetViews>
  <sheetFormatPr defaultRowHeight="14"/>
  <cols>
    <col min="1" max="1" width="8.7265625" style="26"/>
    <col min="2" max="2" width="16.36328125" style="26" bestFit="1" customWidth="1"/>
    <col min="3" max="3" width="21.7265625" style="26" bestFit="1" customWidth="1"/>
    <col min="4" max="4" width="28.6328125" style="26" bestFit="1" customWidth="1"/>
    <col min="5" max="16384" width="8.7265625" style="26"/>
  </cols>
  <sheetData>
    <row r="1" spans="2:4">
      <c r="B1" s="302" t="s">
        <v>313</v>
      </c>
      <c r="C1" s="302"/>
      <c r="D1" s="302"/>
    </row>
    <row r="2" spans="2:4">
      <c r="B2" s="303"/>
      <c r="C2" s="303"/>
      <c r="D2" s="303"/>
    </row>
    <row r="3" spans="2:4" ht="14.5" thickBot="1"/>
    <row r="4" spans="2:4" ht="15" thickBot="1">
      <c r="B4" s="138" t="s">
        <v>314</v>
      </c>
      <c r="C4" s="113"/>
    </row>
    <row r="5" spans="2:4" ht="15" thickBot="1">
      <c r="B5" s="138" t="s">
        <v>315</v>
      </c>
      <c r="C5" s="113"/>
    </row>
    <row r="6" spans="2:4" ht="15" thickBot="1">
      <c r="B6" s="138" t="s">
        <v>316</v>
      </c>
      <c r="C6" s="113"/>
    </row>
    <row r="7" spans="2:4" ht="15" thickBot="1">
      <c r="B7" s="138" t="s">
        <v>317</v>
      </c>
      <c r="C7" s="139"/>
    </row>
    <row r="8" spans="2:4" ht="15" thickBot="1">
      <c r="B8" s="138" t="s">
        <v>318</v>
      </c>
      <c r="C8" s="113"/>
    </row>
    <row r="9" spans="2:4" ht="15" thickBot="1">
      <c r="B9" s="138" t="s">
        <v>319</v>
      </c>
      <c r="C9" s="113"/>
    </row>
    <row r="10" spans="2:4" ht="15" thickBot="1">
      <c r="B10" s="138" t="s">
        <v>322</v>
      </c>
      <c r="C10" s="113"/>
    </row>
    <row r="13" spans="2:4">
      <c r="B13" s="135" t="s">
        <v>470</v>
      </c>
      <c r="C13" s="135" t="s">
        <v>320</v>
      </c>
      <c r="D13" s="135" t="s">
        <v>321</v>
      </c>
    </row>
    <row r="14" spans="2:4">
      <c r="B14" s="17"/>
      <c r="C14" s="81"/>
      <c r="D14" s="81"/>
    </row>
    <row r="15" spans="2:4">
      <c r="B15" s="17"/>
      <c r="C15" s="81"/>
      <c r="D15" s="81"/>
    </row>
    <row r="16" spans="2:4">
      <c r="B16" s="17"/>
      <c r="C16" s="81"/>
      <c r="D16" s="81"/>
    </row>
    <row r="17" spans="2:4">
      <c r="B17" s="17"/>
      <c r="C17" s="81"/>
      <c r="D17" s="81"/>
    </row>
    <row r="18" spans="2:4">
      <c r="B18" s="17"/>
      <c r="C18" s="81"/>
      <c r="D18" s="81"/>
    </row>
    <row r="19" spans="2:4">
      <c r="B19" s="17"/>
      <c r="C19" s="81"/>
      <c r="D19" s="81"/>
    </row>
    <row r="20" spans="2:4">
      <c r="B20" s="17"/>
      <c r="C20" s="81"/>
      <c r="D20" s="81"/>
    </row>
    <row r="21" spans="2:4">
      <c r="B21" s="17"/>
      <c r="C21" s="81"/>
      <c r="D21" s="81"/>
    </row>
    <row r="22" spans="2:4">
      <c r="B22" s="17"/>
      <c r="C22" s="81"/>
      <c r="D22" s="81"/>
    </row>
    <row r="23" spans="2:4">
      <c r="B23" s="17"/>
      <c r="C23" s="81"/>
      <c r="D23" s="81"/>
    </row>
    <row r="24" spans="2:4">
      <c r="B24" s="17"/>
      <c r="C24" s="81"/>
      <c r="D24" s="81"/>
    </row>
    <row r="25" spans="2:4">
      <c r="B25" s="17"/>
      <c r="C25" s="81"/>
      <c r="D25" s="81"/>
    </row>
    <row r="26" spans="2:4">
      <c r="B26" s="136" t="s">
        <v>102</v>
      </c>
      <c r="C26" s="137">
        <f>SUM(C14:C25)</f>
        <v>0</v>
      </c>
      <c r="D26" s="137">
        <f>SUM(D14:D25)</f>
        <v>0</v>
      </c>
    </row>
    <row r="28" spans="2:4">
      <c r="C28" s="26" t="s">
        <v>423</v>
      </c>
      <c r="D28" s="26" t="s">
        <v>427</v>
      </c>
    </row>
  </sheetData>
  <mergeCells count="2">
    <mergeCell ref="B1:D1"/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27"/>
  <sheetViews>
    <sheetView workbookViewId="0">
      <selection activeCell="B5" sqref="B5"/>
    </sheetView>
  </sheetViews>
  <sheetFormatPr defaultRowHeight="14.5"/>
  <cols>
    <col min="1" max="1" width="24.26953125" bestFit="1" customWidth="1"/>
    <col min="2" max="2" width="23.6328125" bestFit="1" customWidth="1"/>
    <col min="3" max="3" width="17.26953125" customWidth="1"/>
    <col min="4" max="4" width="13.1796875" customWidth="1"/>
    <col min="5" max="5" width="11.36328125" customWidth="1"/>
    <col min="6" max="6" width="13.26953125" customWidth="1"/>
  </cols>
  <sheetData>
    <row r="1" spans="1:6" ht="61" customHeight="1"/>
    <row r="2" spans="1:6" ht="23.5" customHeight="1" thickBot="1">
      <c r="A2" s="304" t="s">
        <v>391</v>
      </c>
      <c r="B2" s="304"/>
      <c r="C2" s="304"/>
      <c r="D2" s="304"/>
      <c r="E2" s="304"/>
      <c r="F2" s="304"/>
    </row>
    <row r="3" spans="1:6" ht="15" thickBot="1">
      <c r="A3" s="112" t="s">
        <v>392</v>
      </c>
      <c r="B3" s="113"/>
    </row>
    <row r="4" spans="1:6" ht="15" thickBot="1">
      <c r="A4" s="112" t="s">
        <v>317</v>
      </c>
      <c r="B4" s="139"/>
      <c r="F4" s="72"/>
    </row>
    <row r="5" spans="1:6" ht="15" thickBot="1">
      <c r="A5" s="112" t="s">
        <v>393</v>
      </c>
      <c r="B5" s="113"/>
      <c r="F5" s="72"/>
    </row>
    <row r="6" spans="1:6" ht="15" thickBot="1">
      <c r="A6" s="112" t="s">
        <v>394</v>
      </c>
      <c r="B6" s="113"/>
      <c r="F6" s="72"/>
    </row>
    <row r="7" spans="1:6" ht="15" thickBot="1">
      <c r="A7" s="112" t="s">
        <v>395</v>
      </c>
      <c r="B7" s="128"/>
      <c r="F7" s="72"/>
    </row>
    <row r="8" spans="1:6" ht="15" thickBot="1">
      <c r="A8" s="112" t="s">
        <v>396</v>
      </c>
      <c r="B8" s="113"/>
      <c r="F8" s="72"/>
    </row>
    <row r="9" spans="1:6" ht="15" thickBot="1">
      <c r="A9" s="112" t="s">
        <v>397</v>
      </c>
      <c r="B9" s="113"/>
      <c r="F9" s="72"/>
    </row>
    <row r="10" spans="1:6" ht="15" thickBot="1">
      <c r="A10" s="112" t="s">
        <v>366</v>
      </c>
      <c r="B10" s="113"/>
    </row>
    <row r="11" spans="1:6" ht="15" thickBot="1"/>
    <row r="12" spans="1:6" ht="29.5" thickBot="1">
      <c r="A12" s="114" t="s">
        <v>242</v>
      </c>
      <c r="B12" s="115" t="s">
        <v>400</v>
      </c>
      <c r="C12" s="115" t="s">
        <v>399</v>
      </c>
      <c r="D12" s="115" t="s">
        <v>401</v>
      </c>
      <c r="E12" s="115" t="s">
        <v>402</v>
      </c>
      <c r="F12" s="115" t="s">
        <v>403</v>
      </c>
    </row>
    <row r="13" spans="1:6" ht="15" thickBot="1">
      <c r="A13" s="92"/>
      <c r="B13" s="116"/>
      <c r="C13" s="116"/>
      <c r="D13" s="92"/>
      <c r="E13" s="116"/>
      <c r="F13" s="92"/>
    </row>
    <row r="14" spans="1:6" ht="15" thickBot="1">
      <c r="A14" s="92"/>
      <c r="B14" s="116"/>
      <c r="C14" s="116"/>
      <c r="D14" s="92"/>
      <c r="E14" s="116"/>
      <c r="F14" s="92"/>
    </row>
    <row r="15" spans="1:6" ht="15" thickBot="1">
      <c r="A15" s="92"/>
      <c r="B15" s="116"/>
      <c r="C15" s="116"/>
      <c r="D15" s="92"/>
      <c r="E15" s="116"/>
      <c r="F15" s="92"/>
    </row>
    <row r="16" spans="1:6" ht="15" thickBot="1">
      <c r="A16" s="92"/>
      <c r="B16" s="116"/>
      <c r="C16" s="116"/>
      <c r="D16" s="92"/>
      <c r="E16" s="116"/>
      <c r="F16" s="92"/>
    </row>
    <row r="17" spans="1:6" ht="15" thickBot="1">
      <c r="A17" s="92"/>
      <c r="B17" s="116"/>
      <c r="C17" s="116"/>
      <c r="D17" s="92"/>
      <c r="E17" s="116"/>
      <c r="F17" s="92"/>
    </row>
    <row r="18" spans="1:6" ht="15" thickBot="1">
      <c r="A18" s="92"/>
      <c r="B18" s="116"/>
      <c r="C18" s="116"/>
      <c r="D18" s="92"/>
      <c r="E18" s="116"/>
      <c r="F18" s="92"/>
    </row>
    <row r="19" spans="1:6" ht="15" thickBot="1">
      <c r="A19" s="92"/>
      <c r="B19" s="116"/>
      <c r="C19" s="116"/>
      <c r="D19" s="92"/>
      <c r="E19" s="116"/>
      <c r="F19" s="92"/>
    </row>
    <row r="20" spans="1:6" ht="15" thickBot="1">
      <c r="A20" s="92"/>
      <c r="B20" s="116"/>
      <c r="C20" s="116"/>
      <c r="D20" s="92"/>
      <c r="E20" s="116"/>
      <c r="F20" s="92"/>
    </row>
    <row r="21" spans="1:6" ht="15" thickBot="1">
      <c r="A21" s="92"/>
      <c r="B21" s="116"/>
      <c r="C21" s="116"/>
      <c r="D21" s="92"/>
      <c r="E21" s="116"/>
      <c r="F21" s="92"/>
    </row>
    <row r="22" spans="1:6" ht="15" thickBot="1">
      <c r="A22" s="92"/>
      <c r="B22" s="116"/>
      <c r="C22" s="116"/>
      <c r="D22" s="92"/>
      <c r="E22" s="116"/>
      <c r="F22" s="92"/>
    </row>
    <row r="23" spans="1:6" ht="15" thickBot="1">
      <c r="A23" s="92"/>
      <c r="B23" s="116"/>
      <c r="C23" s="116"/>
      <c r="D23" s="92"/>
      <c r="E23" s="116"/>
      <c r="F23" s="92"/>
    </row>
    <row r="24" spans="1:6" ht="15" thickBot="1">
      <c r="A24" s="92"/>
      <c r="B24" s="116"/>
      <c r="C24" s="116"/>
      <c r="D24" s="92"/>
      <c r="E24" s="116"/>
      <c r="F24" s="92"/>
    </row>
    <row r="25" spans="1:6" ht="15" thickBot="1">
      <c r="A25" s="92"/>
      <c r="B25" s="116"/>
      <c r="C25" s="116"/>
      <c r="D25" s="92"/>
      <c r="E25" s="116"/>
      <c r="F25" s="92"/>
    </row>
    <row r="27" spans="1:6">
      <c r="B27" s="26" t="s">
        <v>423</v>
      </c>
      <c r="C27" s="26" t="s">
        <v>427</v>
      </c>
    </row>
  </sheetData>
  <mergeCells count="1">
    <mergeCell ref="A2:F2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28"/>
  <sheetViews>
    <sheetView workbookViewId="0">
      <selection activeCell="B12" sqref="B12:B13"/>
    </sheetView>
  </sheetViews>
  <sheetFormatPr defaultRowHeight="14.5"/>
  <cols>
    <col min="1" max="1" width="24.26953125" bestFit="1" customWidth="1"/>
    <col min="2" max="2" width="28.26953125" bestFit="1" customWidth="1"/>
    <col min="3" max="3" width="10.08984375" bestFit="1" customWidth="1"/>
    <col min="4" max="4" width="18.81640625" bestFit="1" customWidth="1"/>
    <col min="5" max="5" width="9.7265625" bestFit="1" customWidth="1"/>
    <col min="6" max="6" width="5.1796875" bestFit="1" customWidth="1"/>
    <col min="7" max="7" width="8.54296875" customWidth="1"/>
  </cols>
  <sheetData>
    <row r="1" spans="1:7" ht="76" customHeight="1"/>
    <row r="2" spans="1:7" ht="24" thickBot="1">
      <c r="A2" s="304" t="s">
        <v>418</v>
      </c>
      <c r="B2" s="304"/>
      <c r="C2" s="304"/>
      <c r="D2" s="304"/>
      <c r="E2" s="304"/>
      <c r="F2" s="304"/>
      <c r="G2" s="304"/>
    </row>
    <row r="3" spans="1:7" ht="15" thickBot="1">
      <c r="A3" s="138" t="s">
        <v>392</v>
      </c>
      <c r="B3" s="113"/>
    </row>
    <row r="4" spans="1:7" ht="15" thickBot="1">
      <c r="A4" s="138" t="s">
        <v>317</v>
      </c>
      <c r="B4" s="139"/>
    </row>
    <row r="5" spans="1:7" ht="15" thickBot="1">
      <c r="A5" s="138" t="s">
        <v>393</v>
      </c>
      <c r="B5" s="113"/>
    </row>
    <row r="6" spans="1:7" ht="15" thickBot="1">
      <c r="A6" s="138" t="s">
        <v>394</v>
      </c>
      <c r="B6" s="92"/>
    </row>
    <row r="7" spans="1:7" ht="15" thickBot="1">
      <c r="A7" s="138" t="s">
        <v>395</v>
      </c>
      <c r="B7" s="128"/>
    </row>
    <row r="8" spans="1:7" ht="15" thickBot="1">
      <c r="A8" s="138" t="s">
        <v>396</v>
      </c>
      <c r="B8" s="113"/>
    </row>
    <row r="9" spans="1:7" ht="15" thickBot="1">
      <c r="A9" s="138" t="s">
        <v>397</v>
      </c>
      <c r="B9" s="113"/>
    </row>
    <row r="10" spans="1:7" ht="15" thickBot="1">
      <c r="A10" s="138" t="s">
        <v>366</v>
      </c>
      <c r="B10" s="113"/>
    </row>
    <row r="11" spans="1:7" ht="15" thickBot="1"/>
    <row r="12" spans="1:7" ht="15" thickBot="1">
      <c r="A12" s="307" t="s">
        <v>242</v>
      </c>
      <c r="B12" s="307" t="s">
        <v>413</v>
      </c>
      <c r="C12" s="307" t="s">
        <v>411</v>
      </c>
      <c r="D12" s="307" t="s">
        <v>414</v>
      </c>
      <c r="E12" s="307" t="s">
        <v>412</v>
      </c>
      <c r="F12" s="305" t="s">
        <v>417</v>
      </c>
      <c r="G12" s="306"/>
    </row>
    <row r="13" spans="1:7" ht="15" thickBot="1">
      <c r="A13" s="308"/>
      <c r="B13" s="308"/>
      <c r="C13" s="308"/>
      <c r="D13" s="308"/>
      <c r="E13" s="308"/>
      <c r="F13" s="127" t="s">
        <v>415</v>
      </c>
      <c r="G13" s="127" t="s">
        <v>416</v>
      </c>
    </row>
    <row r="14" spans="1:7" ht="15" thickBot="1">
      <c r="A14" s="92"/>
      <c r="B14" s="116"/>
      <c r="C14" s="125"/>
      <c r="D14" s="116"/>
      <c r="E14" s="125"/>
      <c r="F14" s="92"/>
      <c r="G14" s="126"/>
    </row>
    <row r="15" spans="1:7" ht="15" thickBot="1">
      <c r="A15" s="92"/>
      <c r="B15" s="116"/>
      <c r="C15" s="125"/>
      <c r="D15" s="116"/>
      <c r="E15" s="125"/>
      <c r="F15" s="92"/>
      <c r="G15" s="92"/>
    </row>
    <row r="16" spans="1:7" ht="15" thickBot="1">
      <c r="A16" s="92"/>
      <c r="B16" s="116"/>
      <c r="C16" s="125"/>
      <c r="D16" s="116"/>
      <c r="E16" s="125"/>
      <c r="F16" s="92"/>
      <c r="G16" s="92"/>
    </row>
    <row r="17" spans="1:7" ht="15" thickBot="1">
      <c r="A17" s="92"/>
      <c r="B17" s="116"/>
      <c r="C17" s="125"/>
      <c r="D17" s="116"/>
      <c r="E17" s="125"/>
      <c r="F17" s="92"/>
      <c r="G17" s="92"/>
    </row>
    <row r="18" spans="1:7" ht="15" thickBot="1">
      <c r="A18" s="92"/>
      <c r="B18" s="116"/>
      <c r="C18" s="125"/>
      <c r="D18" s="116"/>
      <c r="E18" s="125"/>
      <c r="F18" s="92"/>
      <c r="G18" s="92"/>
    </row>
    <row r="19" spans="1:7" ht="15" thickBot="1">
      <c r="A19" s="92"/>
      <c r="B19" s="116"/>
      <c r="C19" s="125"/>
      <c r="D19" s="116"/>
      <c r="E19" s="125"/>
      <c r="F19" s="92"/>
      <c r="G19" s="92"/>
    </row>
    <row r="20" spans="1:7" ht="15" thickBot="1">
      <c r="A20" s="92"/>
      <c r="B20" s="116"/>
      <c r="C20" s="125"/>
      <c r="D20" s="116"/>
      <c r="E20" s="125"/>
      <c r="F20" s="92"/>
      <c r="G20" s="92"/>
    </row>
    <row r="21" spans="1:7" ht="15" thickBot="1">
      <c r="A21" s="92"/>
      <c r="B21" s="116"/>
      <c r="C21" s="125"/>
      <c r="D21" s="116"/>
      <c r="E21" s="125"/>
      <c r="F21" s="92"/>
      <c r="G21" s="92"/>
    </row>
    <row r="22" spans="1:7" ht="15" thickBot="1">
      <c r="A22" s="92"/>
      <c r="B22" s="116"/>
      <c r="C22" s="125"/>
      <c r="D22" s="116"/>
      <c r="E22" s="125"/>
      <c r="F22" s="92"/>
      <c r="G22" s="92"/>
    </row>
    <row r="23" spans="1:7" ht="15" thickBot="1">
      <c r="A23" s="92"/>
      <c r="B23" s="116"/>
      <c r="C23" s="125"/>
      <c r="D23" s="116"/>
      <c r="E23" s="125"/>
      <c r="F23" s="92"/>
      <c r="G23" s="92"/>
    </row>
    <row r="24" spans="1:7" ht="15" thickBot="1">
      <c r="A24" s="92"/>
      <c r="B24" s="116"/>
      <c r="C24" s="125"/>
      <c r="D24" s="116"/>
      <c r="E24" s="125"/>
      <c r="F24" s="92"/>
      <c r="G24" s="92"/>
    </row>
    <row r="25" spans="1:7" ht="15" thickBot="1">
      <c r="A25" s="92"/>
      <c r="B25" s="116"/>
      <c r="C25" s="125"/>
      <c r="D25" s="116"/>
      <c r="E25" s="125"/>
      <c r="F25" s="92"/>
      <c r="G25" s="92"/>
    </row>
    <row r="26" spans="1:7" ht="15" thickBot="1">
      <c r="A26" s="92"/>
      <c r="B26" s="116"/>
      <c r="C26" s="125"/>
      <c r="D26" s="116"/>
      <c r="E26" s="125"/>
      <c r="F26" s="92"/>
      <c r="G26" s="92"/>
    </row>
    <row r="28" spans="1:7">
      <c r="B28" s="26" t="s">
        <v>423</v>
      </c>
      <c r="C28" s="26" t="s">
        <v>427</v>
      </c>
    </row>
  </sheetData>
  <mergeCells count="7">
    <mergeCell ref="A2:G2"/>
    <mergeCell ref="F12:G12"/>
    <mergeCell ref="A12:A13"/>
    <mergeCell ref="B12:B13"/>
    <mergeCell ref="C12:C13"/>
    <mergeCell ref="D12:D13"/>
    <mergeCell ref="E12:E13"/>
  </mergeCells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F28"/>
  <sheetViews>
    <sheetView workbookViewId="0">
      <selection activeCell="A13" sqref="A13"/>
    </sheetView>
  </sheetViews>
  <sheetFormatPr defaultRowHeight="14.5"/>
  <cols>
    <col min="1" max="1" width="24.26953125" bestFit="1" customWidth="1"/>
    <col min="2" max="2" width="23.6328125" bestFit="1" customWidth="1"/>
    <col min="3" max="3" width="17.26953125" customWidth="1"/>
    <col min="4" max="4" width="13.1796875" customWidth="1"/>
    <col min="5" max="5" width="11.36328125" customWidth="1"/>
    <col min="6" max="6" width="13.26953125" customWidth="1"/>
  </cols>
  <sheetData>
    <row r="1" spans="1:6" ht="61" customHeight="1"/>
    <row r="2" spans="1:6" ht="23.5" customHeight="1" thickBot="1">
      <c r="A2" s="304" t="s">
        <v>391</v>
      </c>
      <c r="B2" s="304"/>
      <c r="C2" s="304"/>
      <c r="D2" s="304"/>
      <c r="E2" s="304"/>
      <c r="F2" s="304"/>
    </row>
    <row r="3" spans="1:6" ht="15" thickBot="1">
      <c r="A3" s="112" t="s">
        <v>392</v>
      </c>
      <c r="B3" s="113"/>
    </row>
    <row r="4" spans="1:6" ht="15" thickBot="1">
      <c r="A4" s="112" t="s">
        <v>317</v>
      </c>
      <c r="B4" s="139"/>
      <c r="F4" s="72"/>
    </row>
    <row r="5" spans="1:6" ht="15" thickBot="1">
      <c r="A5" s="112" t="s">
        <v>393</v>
      </c>
      <c r="B5" s="113"/>
      <c r="F5" s="72"/>
    </row>
    <row r="6" spans="1:6" ht="15" thickBot="1">
      <c r="A6" s="112" t="s">
        <v>394</v>
      </c>
      <c r="B6" s="113"/>
      <c r="F6" s="72"/>
    </row>
    <row r="7" spans="1:6" ht="15" thickBot="1">
      <c r="A7" s="112" t="s">
        <v>395</v>
      </c>
      <c r="B7" s="128"/>
      <c r="F7" s="72"/>
    </row>
    <row r="8" spans="1:6" ht="15" thickBot="1">
      <c r="A8" s="112" t="s">
        <v>396</v>
      </c>
      <c r="B8" s="113"/>
      <c r="F8" s="72"/>
    </row>
    <row r="9" spans="1:6" ht="15" thickBot="1">
      <c r="A9" s="112" t="s">
        <v>424</v>
      </c>
      <c r="B9" s="128"/>
      <c r="F9" s="72"/>
    </row>
    <row r="10" spans="1:6" ht="15" thickBot="1">
      <c r="A10" s="112" t="s">
        <v>397</v>
      </c>
      <c r="B10" s="113"/>
      <c r="F10" s="72"/>
    </row>
    <row r="11" spans="1:6" ht="15" thickBot="1">
      <c r="A11" s="112" t="s">
        <v>366</v>
      </c>
      <c r="B11" s="113"/>
    </row>
    <row r="12" spans="1:6" ht="15" thickBot="1"/>
    <row r="13" spans="1:6" ht="29.5" thickBot="1">
      <c r="A13" s="114" t="s">
        <v>242</v>
      </c>
      <c r="B13" s="115" t="s">
        <v>400</v>
      </c>
      <c r="C13" s="115" t="s">
        <v>399</v>
      </c>
      <c r="D13" s="115" t="s">
        <v>401</v>
      </c>
      <c r="E13" s="115" t="s">
        <v>473</v>
      </c>
      <c r="F13" s="115" t="s">
        <v>403</v>
      </c>
    </row>
    <row r="14" spans="1:6" ht="15" thickBot="1">
      <c r="A14" s="92"/>
      <c r="B14" s="116"/>
      <c r="C14" s="116"/>
      <c r="D14" s="92"/>
      <c r="E14" s="116"/>
      <c r="F14" s="92"/>
    </row>
    <row r="15" spans="1:6" ht="15" thickBot="1">
      <c r="A15" s="92"/>
      <c r="B15" s="116"/>
      <c r="C15" s="116"/>
      <c r="D15" s="92"/>
      <c r="E15" s="116"/>
      <c r="F15" s="92"/>
    </row>
    <row r="16" spans="1:6" ht="15" thickBot="1">
      <c r="A16" s="92"/>
      <c r="B16" s="116"/>
      <c r="C16" s="116"/>
      <c r="D16" s="92"/>
      <c r="E16" s="116"/>
      <c r="F16" s="92"/>
    </row>
    <row r="17" spans="1:6" ht="15" thickBot="1">
      <c r="A17" s="92"/>
      <c r="B17" s="116"/>
      <c r="C17" s="116"/>
      <c r="D17" s="92"/>
      <c r="E17" s="116"/>
      <c r="F17" s="92"/>
    </row>
    <row r="18" spans="1:6" ht="15" thickBot="1">
      <c r="A18" s="92"/>
      <c r="B18" s="116"/>
      <c r="C18" s="116"/>
      <c r="D18" s="92"/>
      <c r="E18" s="116"/>
      <c r="F18" s="92"/>
    </row>
    <row r="19" spans="1:6" ht="15" thickBot="1">
      <c r="A19" s="92"/>
      <c r="B19" s="116"/>
      <c r="C19" s="116"/>
      <c r="D19" s="92"/>
      <c r="E19" s="116"/>
      <c r="F19" s="92"/>
    </row>
    <row r="20" spans="1:6" ht="15" thickBot="1">
      <c r="A20" s="92"/>
      <c r="B20" s="116"/>
      <c r="C20" s="116"/>
      <c r="D20" s="92"/>
      <c r="E20" s="116"/>
      <c r="F20" s="92"/>
    </row>
    <row r="21" spans="1:6" ht="15" thickBot="1">
      <c r="A21" s="92"/>
      <c r="B21" s="116"/>
      <c r="C21" s="116"/>
      <c r="D21" s="92"/>
      <c r="E21" s="116"/>
      <c r="F21" s="92"/>
    </row>
    <row r="22" spans="1:6" ht="15" thickBot="1">
      <c r="A22" s="92"/>
      <c r="B22" s="116"/>
      <c r="C22" s="116"/>
      <c r="D22" s="92"/>
      <c r="E22" s="116"/>
      <c r="F22" s="92"/>
    </row>
    <row r="23" spans="1:6" ht="15" thickBot="1">
      <c r="A23" s="92"/>
      <c r="B23" s="116"/>
      <c r="C23" s="116"/>
      <c r="D23" s="92"/>
      <c r="E23" s="116"/>
      <c r="F23" s="92"/>
    </row>
    <row r="24" spans="1:6" ht="15" thickBot="1">
      <c r="A24" s="92"/>
      <c r="B24" s="116"/>
      <c r="C24" s="116"/>
      <c r="D24" s="92"/>
      <c r="E24" s="116"/>
      <c r="F24" s="92"/>
    </row>
    <row r="25" spans="1:6" ht="15" thickBot="1">
      <c r="A25" s="92"/>
      <c r="B25" s="116"/>
      <c r="C25" s="116"/>
      <c r="D25" s="92"/>
      <c r="E25" s="116"/>
      <c r="F25" s="92"/>
    </row>
    <row r="26" spans="1:6" ht="15" thickBot="1">
      <c r="A26" s="92"/>
      <c r="B26" s="116"/>
      <c r="C26" s="116"/>
      <c r="D26" s="92"/>
      <c r="E26" s="116"/>
      <c r="F26" s="92"/>
    </row>
    <row r="28" spans="1:6">
      <c r="B28" s="26" t="s">
        <v>423</v>
      </c>
      <c r="C28" s="26" t="s">
        <v>427</v>
      </c>
    </row>
  </sheetData>
  <mergeCells count="1">
    <mergeCell ref="A2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74"/>
  <sheetViews>
    <sheetView tabSelected="1" zoomScaleNormal="100" workbookViewId="0">
      <selection activeCell="C12" sqref="C12"/>
    </sheetView>
  </sheetViews>
  <sheetFormatPr defaultColWidth="19" defaultRowHeight="15.5"/>
  <cols>
    <col min="1" max="1" width="34.7265625" style="51" bestFit="1" customWidth="1"/>
    <col min="2" max="2" width="23.81640625" style="61" bestFit="1" customWidth="1"/>
    <col min="3" max="5" width="18.54296875" style="61" bestFit="1" customWidth="1"/>
    <col min="6" max="6" width="17.54296875" style="69" bestFit="1" customWidth="1"/>
    <col min="7" max="16384" width="19" style="51"/>
  </cols>
  <sheetData>
    <row r="1" spans="1:6">
      <c r="A1" s="311" t="s">
        <v>230</v>
      </c>
      <c r="B1" s="311"/>
      <c r="C1" s="311"/>
      <c r="D1" s="311"/>
      <c r="E1" s="311"/>
      <c r="F1" s="311"/>
    </row>
    <row r="2" spans="1:6" ht="16" thickBot="1">
      <c r="A2" s="312" t="s">
        <v>177</v>
      </c>
      <c r="B2" s="312"/>
      <c r="C2" s="312"/>
      <c r="D2" s="312"/>
      <c r="E2" s="312"/>
      <c r="F2" s="312"/>
    </row>
    <row r="3" spans="1:6">
      <c r="A3" s="313" t="s">
        <v>84</v>
      </c>
      <c r="B3" s="52" t="s">
        <v>477</v>
      </c>
      <c r="C3" s="52" t="s">
        <v>178</v>
      </c>
      <c r="D3" s="52" t="s">
        <v>179</v>
      </c>
      <c r="E3" s="52" t="s">
        <v>180</v>
      </c>
      <c r="F3" s="315" t="s">
        <v>181</v>
      </c>
    </row>
    <row r="4" spans="1:6">
      <c r="A4" s="314"/>
      <c r="B4" s="53" t="s">
        <v>182</v>
      </c>
      <c r="C4" s="53" t="s">
        <v>182</v>
      </c>
      <c r="D4" s="53" t="s">
        <v>182</v>
      </c>
      <c r="E4" s="53" t="s">
        <v>182</v>
      </c>
      <c r="F4" s="316"/>
    </row>
    <row r="5" spans="1:6">
      <c r="A5" s="54" t="s">
        <v>183</v>
      </c>
      <c r="B5" s="243"/>
      <c r="C5" s="243"/>
      <c r="D5" s="244"/>
      <c r="E5" s="245"/>
      <c r="F5" s="214"/>
    </row>
    <row r="6" spans="1:6">
      <c r="A6" s="54" t="s">
        <v>184</v>
      </c>
      <c r="B6" s="243"/>
      <c r="C6" s="243"/>
      <c r="D6" s="244"/>
      <c r="E6" s="245"/>
      <c r="F6" s="214"/>
    </row>
    <row r="7" spans="1:6">
      <c r="A7" s="55" t="s">
        <v>185</v>
      </c>
      <c r="B7" s="246"/>
      <c r="C7" s="246"/>
      <c r="D7" s="247"/>
      <c r="E7" s="247"/>
      <c r="F7" s="214" t="e">
        <f>AVERAGE(B7:E7)</f>
        <v>#DIV/0!</v>
      </c>
    </row>
    <row r="8" spans="1:6" s="57" customFormat="1">
      <c r="A8" s="56" t="s">
        <v>186</v>
      </c>
      <c r="B8" s="219">
        <f>SUM(B7)</f>
        <v>0</v>
      </c>
      <c r="C8" s="219">
        <f>SUM(C7)</f>
        <v>0</v>
      </c>
      <c r="D8" s="219">
        <f>SUM(D7)</f>
        <v>0</v>
      </c>
      <c r="E8" s="219">
        <f>SUM(E7)</f>
        <v>0</v>
      </c>
      <c r="F8" s="235">
        <f>AVERAGE(B8:E8)</f>
        <v>0</v>
      </c>
    </row>
    <row r="9" spans="1:6">
      <c r="A9" s="56" t="s">
        <v>187</v>
      </c>
      <c r="B9" s="249"/>
      <c r="C9" s="249"/>
      <c r="D9" s="248"/>
      <c r="E9" s="248"/>
      <c r="F9" s="214"/>
    </row>
    <row r="10" spans="1:6">
      <c r="A10" s="55" t="s">
        <v>188</v>
      </c>
      <c r="B10" s="246"/>
      <c r="C10" s="246"/>
      <c r="D10" s="247"/>
      <c r="E10" s="247"/>
      <c r="F10" s="214" t="e">
        <f>AVERAGE(B10:E10)</f>
        <v>#DIV/0!</v>
      </c>
    </row>
    <row r="11" spans="1:6">
      <c r="A11" s="55" t="s">
        <v>189</v>
      </c>
      <c r="B11" s="246"/>
      <c r="C11" s="246"/>
      <c r="D11" s="247"/>
      <c r="E11" s="247"/>
      <c r="F11" s="214" t="e">
        <f>AVERAGE(B11:E11)</f>
        <v>#DIV/0!</v>
      </c>
    </row>
    <row r="12" spans="1:6">
      <c r="A12" s="55" t="s">
        <v>190</v>
      </c>
      <c r="B12" s="246"/>
      <c r="C12" s="246"/>
      <c r="D12" s="250"/>
      <c r="E12" s="247"/>
      <c r="F12" s="214" t="e">
        <f>AVERAGE(B12:E12)</f>
        <v>#DIV/0!</v>
      </c>
    </row>
    <row r="13" spans="1:6" s="57" customFormat="1">
      <c r="A13" s="56" t="s">
        <v>191</v>
      </c>
      <c r="B13" s="219">
        <f>SUM(B10:B12)</f>
        <v>0</v>
      </c>
      <c r="C13" s="219">
        <f>SUM(C10:C12)</f>
        <v>0</v>
      </c>
      <c r="D13" s="219">
        <f>SUM(D10:D12)</f>
        <v>0</v>
      </c>
      <c r="E13" s="219">
        <f>SUM(E10:E12)</f>
        <v>0</v>
      </c>
      <c r="F13" s="235">
        <f>AVERAGE(B13:E13)</f>
        <v>0</v>
      </c>
    </row>
    <row r="14" spans="1:6" s="57" customFormat="1">
      <c r="A14" s="56" t="s">
        <v>192</v>
      </c>
      <c r="B14" s="219">
        <f>B13+B8</f>
        <v>0</v>
      </c>
      <c r="C14" s="219">
        <f>C13+C8</f>
        <v>0</v>
      </c>
      <c r="D14" s="219">
        <f>D13+D8</f>
        <v>0</v>
      </c>
      <c r="E14" s="219">
        <f t="shared" ref="E14" si="0">E13+E8</f>
        <v>0</v>
      </c>
      <c r="F14" s="235">
        <f>AVERAGE(B14:E14)</f>
        <v>0</v>
      </c>
    </row>
    <row r="15" spans="1:6">
      <c r="A15" s="56" t="s">
        <v>193</v>
      </c>
      <c r="B15" s="249"/>
      <c r="C15" s="249"/>
      <c r="D15" s="244"/>
      <c r="E15" s="244"/>
      <c r="F15" s="214"/>
    </row>
    <row r="16" spans="1:6">
      <c r="A16" s="56" t="s">
        <v>194</v>
      </c>
      <c r="B16" s="249"/>
      <c r="C16" s="249"/>
      <c r="D16" s="244"/>
      <c r="E16" s="244"/>
      <c r="F16" s="214"/>
    </row>
    <row r="17" spans="1:6">
      <c r="A17" s="55" t="s">
        <v>195</v>
      </c>
      <c r="B17" s="246"/>
      <c r="C17" s="246"/>
      <c r="D17" s="247"/>
      <c r="E17" s="247"/>
      <c r="F17" s="214" t="e">
        <f>AVERAGE(B17:E17)</f>
        <v>#DIV/0!</v>
      </c>
    </row>
    <row r="18" spans="1:6">
      <c r="A18" s="55" t="s">
        <v>196</v>
      </c>
      <c r="B18" s="246"/>
      <c r="C18" s="246"/>
      <c r="D18" s="247"/>
      <c r="E18" s="247"/>
      <c r="F18" s="214" t="e">
        <f>AVERAGE(B18:E18)</f>
        <v>#DIV/0!</v>
      </c>
    </row>
    <row r="19" spans="1:6">
      <c r="A19" s="55" t="s">
        <v>197</v>
      </c>
      <c r="B19" s="246"/>
      <c r="C19" s="246"/>
      <c r="D19" s="247"/>
      <c r="E19" s="247"/>
      <c r="F19" s="214" t="e">
        <f>AVERAGE(B19:E19)</f>
        <v>#DIV/0!</v>
      </c>
    </row>
    <row r="20" spans="1:6">
      <c r="A20" s="55" t="s">
        <v>198</v>
      </c>
      <c r="B20" s="246"/>
      <c r="C20" s="246"/>
      <c r="D20" s="247"/>
      <c r="E20" s="247"/>
      <c r="F20" s="214" t="e">
        <f>AVERAGE(B20:E20)</f>
        <v>#DIV/0!</v>
      </c>
    </row>
    <row r="21" spans="1:6" s="57" customFormat="1">
      <c r="A21" s="56" t="s">
        <v>199</v>
      </c>
      <c r="B21" s="219">
        <f>SUM(B17:B20)</f>
        <v>0</v>
      </c>
      <c r="C21" s="219">
        <f t="shared" ref="C21:F21" si="1">SUM(C17:C20)</f>
        <v>0</v>
      </c>
      <c r="D21" s="219">
        <f t="shared" si="1"/>
        <v>0</v>
      </c>
      <c r="E21" s="219">
        <f t="shared" si="1"/>
        <v>0</v>
      </c>
      <c r="F21" s="219" t="e">
        <f t="shared" si="1"/>
        <v>#DIV/0!</v>
      </c>
    </row>
    <row r="22" spans="1:6" s="57" customFormat="1">
      <c r="A22" s="56" t="s">
        <v>200</v>
      </c>
      <c r="B22" s="219">
        <f>SUM(B23:B24)</f>
        <v>0</v>
      </c>
      <c r="C22" s="219">
        <f t="shared" ref="C22:E22" si="2">SUM(C23:C24)</f>
        <v>0</v>
      </c>
      <c r="D22" s="219">
        <f t="shared" si="2"/>
        <v>0</v>
      </c>
      <c r="E22" s="219">
        <f t="shared" si="2"/>
        <v>0</v>
      </c>
      <c r="F22" s="219" t="e">
        <f t="shared" ref="F22" si="3">SUM(F18:F21)</f>
        <v>#DIV/0!</v>
      </c>
    </row>
    <row r="23" spans="1:6" s="57" customFormat="1">
      <c r="A23" s="55" t="s">
        <v>201</v>
      </c>
      <c r="B23" s="247"/>
      <c r="C23" s="247"/>
      <c r="D23" s="247"/>
      <c r="E23" s="247"/>
      <c r="F23" s="219" t="e">
        <f t="shared" ref="F23" si="4">SUM(F19:F22)</f>
        <v>#DIV/0!</v>
      </c>
    </row>
    <row r="24" spans="1:6" s="57" customFormat="1">
      <c r="A24" s="55" t="s">
        <v>202</v>
      </c>
      <c r="B24" s="247"/>
      <c r="C24" s="247"/>
      <c r="D24" s="247"/>
      <c r="E24" s="247"/>
      <c r="F24" s="214"/>
    </row>
    <row r="25" spans="1:6" s="57" customFormat="1">
      <c r="A25" s="56" t="s">
        <v>203</v>
      </c>
      <c r="B25" s="219">
        <f>B21+B22</f>
        <v>0</v>
      </c>
      <c r="C25" s="219">
        <f t="shared" ref="C25:F25" si="5">C21+C22</f>
        <v>0</v>
      </c>
      <c r="D25" s="219">
        <f t="shared" si="5"/>
        <v>0</v>
      </c>
      <c r="E25" s="219">
        <f t="shared" si="5"/>
        <v>0</v>
      </c>
      <c r="F25" s="219" t="e">
        <f t="shared" si="5"/>
        <v>#DIV/0!</v>
      </c>
    </row>
    <row r="26" spans="1:6">
      <c r="A26" s="56" t="s">
        <v>204</v>
      </c>
      <c r="B26" s="249"/>
      <c r="C26" s="249"/>
      <c r="D26" s="244"/>
      <c r="E26" s="244"/>
      <c r="F26" s="214"/>
    </row>
    <row r="27" spans="1:6">
      <c r="A27" s="55" t="s">
        <v>204</v>
      </c>
      <c r="B27" s="246"/>
      <c r="C27" s="246"/>
      <c r="D27" s="247"/>
      <c r="E27" s="247"/>
      <c r="F27" s="214" t="e">
        <f>AVERAGE(B27:E27)</f>
        <v>#DIV/0!</v>
      </c>
    </row>
    <row r="28" spans="1:6">
      <c r="A28" s="55" t="s">
        <v>205</v>
      </c>
      <c r="B28" s="246"/>
      <c r="C28" s="246"/>
      <c r="D28" s="247"/>
      <c r="E28" s="247"/>
      <c r="F28" s="214" t="e">
        <f>AVERAGE(B28:E28)</f>
        <v>#DIV/0!</v>
      </c>
    </row>
    <row r="29" spans="1:6">
      <c r="A29" s="58" t="s">
        <v>206</v>
      </c>
      <c r="B29" s="251"/>
      <c r="C29" s="251"/>
      <c r="D29" s="247"/>
      <c r="E29" s="252"/>
      <c r="F29" s="214" t="e">
        <f>AVERAGE(B29:E29)</f>
        <v>#DIV/0!</v>
      </c>
    </row>
    <row r="30" spans="1:6" s="57" customFormat="1">
      <c r="A30" s="56" t="s">
        <v>207</v>
      </c>
      <c r="B30" s="219">
        <f>SUM(B27:B29)</f>
        <v>0</v>
      </c>
      <c r="C30" s="219">
        <f t="shared" ref="C30:F30" si="6">SUM(C27:C29)</f>
        <v>0</v>
      </c>
      <c r="D30" s="219">
        <f t="shared" si="6"/>
        <v>0</v>
      </c>
      <c r="E30" s="219">
        <f>SUM(E27:E29)</f>
        <v>0</v>
      </c>
      <c r="F30" s="219" t="e">
        <f t="shared" si="6"/>
        <v>#DIV/0!</v>
      </c>
    </row>
    <row r="31" spans="1:6" s="57" customFormat="1">
      <c r="A31" s="56" t="s">
        <v>208</v>
      </c>
      <c r="B31" s="219">
        <f>B30+B25</f>
        <v>0</v>
      </c>
      <c r="C31" s="219">
        <f t="shared" ref="C31:F31" si="7">C30+C25</f>
        <v>0</v>
      </c>
      <c r="D31" s="219">
        <f t="shared" si="7"/>
        <v>0</v>
      </c>
      <c r="E31" s="219">
        <f t="shared" si="7"/>
        <v>0</v>
      </c>
      <c r="F31" s="219" t="e">
        <f t="shared" si="7"/>
        <v>#DIV/0!</v>
      </c>
    </row>
    <row r="32" spans="1:6">
      <c r="A32" s="59" t="s">
        <v>209</v>
      </c>
      <c r="B32" s="242">
        <f>B13-B21</f>
        <v>0</v>
      </c>
      <c r="C32" s="242">
        <f>C13-C21</f>
        <v>0</v>
      </c>
      <c r="D32" s="242">
        <f>D13-D21</f>
        <v>0</v>
      </c>
      <c r="E32" s="242">
        <f t="shared" ref="E32" si="8">E13-E21</f>
        <v>0</v>
      </c>
      <c r="F32" s="236">
        <f>AVERAGE(B32:E32)</f>
        <v>0</v>
      </c>
    </row>
    <row r="33" spans="1:6">
      <c r="A33" s="60" t="s">
        <v>210</v>
      </c>
      <c r="B33" s="237">
        <f>B14-B25</f>
        <v>0</v>
      </c>
      <c r="C33" s="237">
        <f t="shared" ref="C33:F33" si="9">C14-C25</f>
        <v>0</v>
      </c>
      <c r="D33" s="237">
        <f t="shared" si="9"/>
        <v>0</v>
      </c>
      <c r="E33" s="237">
        <f t="shared" si="9"/>
        <v>0</v>
      </c>
      <c r="F33" s="237" t="e">
        <f t="shared" si="9"/>
        <v>#DIV/0!</v>
      </c>
    </row>
    <row r="34" spans="1:6">
      <c r="B34" s="254">
        <f>B14-B31</f>
        <v>0</v>
      </c>
      <c r="C34" s="254">
        <f t="shared" ref="C34:E34" si="10">C14-C31</f>
        <v>0</v>
      </c>
      <c r="D34" s="254">
        <f t="shared" si="10"/>
        <v>0</v>
      </c>
      <c r="E34" s="254">
        <f t="shared" si="10"/>
        <v>0</v>
      </c>
      <c r="F34" s="61"/>
    </row>
    <row r="35" spans="1:6" ht="16" thickBot="1">
      <c r="F35" s="62"/>
    </row>
    <row r="36" spans="1:6">
      <c r="A36" s="317" t="str">
        <f>A1</f>
        <v>ABC Company</v>
      </c>
      <c r="B36" s="318"/>
      <c r="C36" s="318"/>
      <c r="D36" s="318"/>
      <c r="E36" s="318"/>
      <c r="F36" s="319"/>
    </row>
    <row r="37" spans="1:6">
      <c r="A37" s="309" t="s">
        <v>211</v>
      </c>
      <c r="B37" s="320"/>
      <c r="C37" s="320"/>
      <c r="D37" s="320"/>
      <c r="E37" s="320"/>
      <c r="F37" s="310"/>
    </row>
    <row r="38" spans="1:6">
      <c r="A38" s="309" t="s">
        <v>84</v>
      </c>
      <c r="B38" s="53" t="str">
        <f>B3</f>
        <v>July 07, 2025 G.C</v>
      </c>
      <c r="C38" s="53" t="str">
        <f t="shared" ref="C38:D39" si="11">C3</f>
        <v>July 7, 2024 G.C</v>
      </c>
      <c r="D38" s="53" t="str">
        <f t="shared" si="11"/>
        <v>July 7, 2023 G.C</v>
      </c>
      <c r="E38" s="53" t="str">
        <f>E3</f>
        <v>July 7, 2022 G.C</v>
      </c>
      <c r="F38" s="310" t="str">
        <f>F3</f>
        <v>Average</v>
      </c>
    </row>
    <row r="39" spans="1:6">
      <c r="A39" s="309"/>
      <c r="B39" s="53" t="str">
        <f>B4</f>
        <v>(Audited)</v>
      </c>
      <c r="C39" s="53" t="str">
        <f t="shared" si="11"/>
        <v>(Audited)</v>
      </c>
      <c r="D39" s="53" t="str">
        <f t="shared" si="11"/>
        <v>(Audited)</v>
      </c>
      <c r="E39" s="53" t="str">
        <f>E4</f>
        <v>(Audited)</v>
      </c>
      <c r="F39" s="310"/>
    </row>
    <row r="40" spans="1:6">
      <c r="A40" s="55" t="s">
        <v>212</v>
      </c>
      <c r="B40" s="246"/>
      <c r="C40" s="246"/>
      <c r="D40" s="247"/>
      <c r="E40" s="247"/>
      <c r="F40" s="214" t="e">
        <f t="shared" ref="F40:F49" si="12">AVERAGE(B40:E40)</f>
        <v>#DIV/0!</v>
      </c>
    </row>
    <row r="41" spans="1:6">
      <c r="A41" s="55" t="s">
        <v>213</v>
      </c>
      <c r="B41" s="246"/>
      <c r="C41" s="246"/>
      <c r="D41" s="247"/>
      <c r="E41" s="247"/>
      <c r="F41" s="214" t="e">
        <f t="shared" si="12"/>
        <v>#DIV/0!</v>
      </c>
    </row>
    <row r="42" spans="1:6" s="57" customFormat="1">
      <c r="A42" s="56" t="s">
        <v>214</v>
      </c>
      <c r="B42" s="239">
        <f>B40-B41</f>
        <v>0</v>
      </c>
      <c r="C42" s="239">
        <f>C40-C41</f>
        <v>0</v>
      </c>
      <c r="D42" s="239">
        <f>D40-D41</f>
        <v>0</v>
      </c>
      <c r="E42" s="239">
        <f t="shared" ref="E42" si="13">E40-E41</f>
        <v>0</v>
      </c>
      <c r="F42" s="235">
        <f t="shared" si="12"/>
        <v>0</v>
      </c>
    </row>
    <row r="43" spans="1:6">
      <c r="A43" s="55" t="s">
        <v>215</v>
      </c>
      <c r="B43" s="253"/>
      <c r="C43" s="253"/>
      <c r="D43" s="253"/>
      <c r="E43" s="253"/>
      <c r="F43" s="214" t="e">
        <f t="shared" si="12"/>
        <v>#DIV/0!</v>
      </c>
    </row>
    <row r="44" spans="1:6" s="57" customFormat="1" ht="31">
      <c r="A44" s="56" t="s">
        <v>323</v>
      </c>
      <c r="B44" s="240">
        <f>B42-B43</f>
        <v>0</v>
      </c>
      <c r="C44" s="240">
        <f>C42-C43</f>
        <v>0</v>
      </c>
      <c r="D44" s="240">
        <f>D42-D43</f>
        <v>0</v>
      </c>
      <c r="E44" s="240">
        <f t="shared" ref="E44" si="14">E42-E43</f>
        <v>0</v>
      </c>
      <c r="F44" s="235">
        <f t="shared" si="12"/>
        <v>0</v>
      </c>
    </row>
    <row r="45" spans="1:6" s="57" customFormat="1">
      <c r="A45" s="55" t="s">
        <v>324</v>
      </c>
      <c r="B45" s="253"/>
      <c r="C45" s="253"/>
      <c r="D45" s="253"/>
      <c r="E45" s="253"/>
      <c r="F45" s="214" t="e">
        <f t="shared" si="12"/>
        <v>#DIV/0!</v>
      </c>
    </row>
    <row r="46" spans="1:6" s="57" customFormat="1">
      <c r="A46" s="56" t="s">
        <v>325</v>
      </c>
      <c r="B46" s="240">
        <f>B44-B45</f>
        <v>0</v>
      </c>
      <c r="C46" s="240">
        <f t="shared" ref="C46:E46" si="15">C44-C45</f>
        <v>0</v>
      </c>
      <c r="D46" s="240">
        <f t="shared" si="15"/>
        <v>0</v>
      </c>
      <c r="E46" s="240">
        <f t="shared" si="15"/>
        <v>0</v>
      </c>
      <c r="F46" s="235">
        <f t="shared" si="12"/>
        <v>0</v>
      </c>
    </row>
    <row r="47" spans="1:6">
      <c r="A47" s="55" t="s">
        <v>231</v>
      </c>
      <c r="B47" s="253"/>
      <c r="C47" s="253"/>
      <c r="D47" s="253"/>
      <c r="E47" s="253"/>
      <c r="F47" s="235" t="e">
        <f t="shared" si="12"/>
        <v>#DIV/0!</v>
      </c>
    </row>
    <row r="48" spans="1:6">
      <c r="A48" s="55" t="s">
        <v>216</v>
      </c>
      <c r="B48" s="253">
        <f>(B46-B47)*35%</f>
        <v>0</v>
      </c>
      <c r="C48" s="253">
        <f t="shared" ref="C48:E48" si="16">(C46-C47)*35%</f>
        <v>0</v>
      </c>
      <c r="D48" s="253">
        <f t="shared" si="16"/>
        <v>0</v>
      </c>
      <c r="E48" s="253">
        <f t="shared" si="16"/>
        <v>0</v>
      </c>
      <c r="F48" s="214">
        <f t="shared" si="12"/>
        <v>0</v>
      </c>
    </row>
    <row r="49" spans="1:6" s="57" customFormat="1" ht="16" thickBot="1">
      <c r="A49" s="63" t="s">
        <v>217</v>
      </c>
      <c r="B49" s="241">
        <f>B46-B47-B48</f>
        <v>0</v>
      </c>
      <c r="C49" s="241">
        <f t="shared" ref="C49:E49" si="17">C46-C47-C48</f>
        <v>0</v>
      </c>
      <c r="D49" s="241">
        <f t="shared" si="17"/>
        <v>0</v>
      </c>
      <c r="E49" s="241">
        <f t="shared" si="17"/>
        <v>0</v>
      </c>
      <c r="F49" s="238">
        <f t="shared" si="12"/>
        <v>0</v>
      </c>
    </row>
    <row r="50" spans="1:6">
      <c r="F50" s="62"/>
    </row>
    <row r="51" spans="1:6">
      <c r="A51" s="57" t="s">
        <v>237</v>
      </c>
      <c r="B51" s="172"/>
    </row>
    <row r="52" spans="1:6">
      <c r="A52" s="57" t="s">
        <v>238</v>
      </c>
      <c r="B52" s="172"/>
    </row>
    <row r="53" spans="1:6" ht="16" thickBot="1">
      <c r="F53" s="62"/>
    </row>
    <row r="54" spans="1:6">
      <c r="A54" s="64" t="s">
        <v>218</v>
      </c>
      <c r="B54" s="65" t="str">
        <f>B38</f>
        <v>July 07, 2025 G.C</v>
      </c>
      <c r="C54" s="65" t="str">
        <f>C38</f>
        <v>July 7, 2024 G.C</v>
      </c>
      <c r="D54" s="66" t="str">
        <f>D38</f>
        <v>July 7, 2023 G.C</v>
      </c>
      <c r="E54" s="66" t="str">
        <f t="shared" ref="E54" si="18">E38</f>
        <v>July 7, 2022 G.C</v>
      </c>
      <c r="F54" s="67" t="str">
        <f>F38</f>
        <v>Average</v>
      </c>
    </row>
    <row r="55" spans="1:6">
      <c r="A55" s="70" t="s">
        <v>461</v>
      </c>
      <c r="B55" s="211" t="e">
        <f t="shared" ref="B55:C55" si="19">(B40-C40)/C40</f>
        <v>#DIV/0!</v>
      </c>
      <c r="C55" s="211" t="e">
        <f t="shared" si="19"/>
        <v>#DIV/0!</v>
      </c>
      <c r="D55" s="211" t="e">
        <f>(D40-E40)/E40</f>
        <v>#DIV/0!</v>
      </c>
      <c r="E55" s="212"/>
      <c r="F55" s="213" t="e">
        <f>AVERAGE(B55:D55)</f>
        <v>#DIV/0!</v>
      </c>
    </row>
    <row r="56" spans="1:6">
      <c r="A56" s="70" t="s">
        <v>219</v>
      </c>
      <c r="B56" s="212" t="e">
        <f>(B10/B41)</f>
        <v>#DIV/0!</v>
      </c>
      <c r="C56" s="212" t="e">
        <f t="shared" ref="C56:E56" si="20">(C10/C41)</f>
        <v>#DIV/0!</v>
      </c>
      <c r="D56" s="212" t="e">
        <f t="shared" si="20"/>
        <v>#DIV/0!</v>
      </c>
      <c r="E56" s="212" t="e">
        <f t="shared" si="20"/>
        <v>#DIV/0!</v>
      </c>
      <c r="F56" s="214" t="e">
        <f>AVERAGE(B56:E56)</f>
        <v>#DIV/0!</v>
      </c>
    </row>
    <row r="57" spans="1:6">
      <c r="A57" s="55" t="s">
        <v>220</v>
      </c>
      <c r="B57" s="215" t="e">
        <f>(B11/B40)*365</f>
        <v>#DIV/0!</v>
      </c>
      <c r="C57" s="215" t="e">
        <f>(C11/C40)*365</f>
        <v>#DIV/0!</v>
      </c>
      <c r="D57" s="215" t="e">
        <f>(D11/D40)*365</f>
        <v>#DIV/0!</v>
      </c>
      <c r="E57" s="215" t="e">
        <f>(E11/E40)*365</f>
        <v>#DIV/0!</v>
      </c>
      <c r="F57" s="216" t="e">
        <f>AVERAGE(B57:E57)</f>
        <v>#DIV/0!</v>
      </c>
    </row>
    <row r="58" spans="1:6">
      <c r="A58" s="55" t="s">
        <v>221</v>
      </c>
      <c r="B58" s="217" t="e">
        <f>B32/B40</f>
        <v>#DIV/0!</v>
      </c>
      <c r="C58" s="217" t="e">
        <f>C32/C40</f>
        <v>#DIV/0!</v>
      </c>
      <c r="D58" s="217" t="e">
        <f>D32/D40</f>
        <v>#DIV/0!</v>
      </c>
      <c r="E58" s="217" t="e">
        <f>E32/E40</f>
        <v>#DIV/0!</v>
      </c>
      <c r="F58" s="218" t="e">
        <f>AVERAGE(B58:E58)</f>
        <v>#DIV/0!</v>
      </c>
    </row>
    <row r="59" spans="1:6">
      <c r="A59" s="56" t="s">
        <v>222</v>
      </c>
      <c r="B59" s="219"/>
      <c r="C59" s="219"/>
      <c r="D59" s="220"/>
      <c r="E59" s="220"/>
      <c r="F59" s="216"/>
    </row>
    <row r="60" spans="1:6">
      <c r="A60" s="70" t="s">
        <v>234</v>
      </c>
      <c r="B60" s="217" t="e">
        <f>B13/B21</f>
        <v>#DIV/0!</v>
      </c>
      <c r="C60" s="217" t="e">
        <f>C13/C21</f>
        <v>#DIV/0!</v>
      </c>
      <c r="D60" s="217" t="e">
        <f>D13/D21</f>
        <v>#DIV/0!</v>
      </c>
      <c r="E60" s="217" t="e">
        <f>E13/E21</f>
        <v>#DIV/0!</v>
      </c>
      <c r="F60" s="218" t="e">
        <f>AVERAGE(B60:E60)</f>
        <v>#DIV/0!</v>
      </c>
    </row>
    <row r="61" spans="1:6">
      <c r="A61" s="55" t="s">
        <v>223</v>
      </c>
      <c r="B61" s="217" t="e">
        <f>(B13-B10)/B21</f>
        <v>#DIV/0!</v>
      </c>
      <c r="C61" s="217" t="e">
        <f>(C13-C10)/C21</f>
        <v>#DIV/0!</v>
      </c>
      <c r="D61" s="217" t="e">
        <f>(D13-D10)/D21</f>
        <v>#DIV/0!</v>
      </c>
      <c r="E61" s="217" t="e">
        <f>(E13-E10)/E21</f>
        <v>#DIV/0!</v>
      </c>
      <c r="F61" s="218" t="e">
        <f>AVERAGE(B61:E61)</f>
        <v>#DIV/0!</v>
      </c>
    </row>
    <row r="62" spans="1:6">
      <c r="A62" s="70" t="s">
        <v>233</v>
      </c>
      <c r="B62" s="217" t="e">
        <f>B30/B14</f>
        <v>#DIV/0!</v>
      </c>
      <c r="C62" s="217" t="e">
        <f t="shared" ref="C62:E62" si="21">C30/C14</f>
        <v>#DIV/0!</v>
      </c>
      <c r="D62" s="217" t="e">
        <f t="shared" si="21"/>
        <v>#DIV/0!</v>
      </c>
      <c r="E62" s="217" t="e">
        <f t="shared" si="21"/>
        <v>#DIV/0!</v>
      </c>
      <c r="F62" s="218" t="e">
        <f>AVERAGE(B62:E62)</f>
        <v>#DIV/0!</v>
      </c>
    </row>
    <row r="63" spans="1:6">
      <c r="A63" s="70" t="s">
        <v>224</v>
      </c>
      <c r="B63" s="217" t="e">
        <f>B25/B14</f>
        <v>#DIV/0!</v>
      </c>
      <c r="C63" s="217" t="e">
        <f>C25/C14</f>
        <v>#DIV/0!</v>
      </c>
      <c r="D63" s="217" t="e">
        <f>D25/D14</f>
        <v>#DIV/0!</v>
      </c>
      <c r="E63" s="217" t="e">
        <f>E25/E14</f>
        <v>#DIV/0!</v>
      </c>
      <c r="F63" s="218" t="e">
        <f>AVERAGE(B63:E63)</f>
        <v>#DIV/0!</v>
      </c>
    </row>
    <row r="64" spans="1:6">
      <c r="A64" s="55" t="s">
        <v>225</v>
      </c>
      <c r="B64" s="217" t="e">
        <f>B25/B33</f>
        <v>#DIV/0!</v>
      </c>
      <c r="C64" s="217" t="e">
        <f t="shared" ref="C64:F64" si="22">C25/C33</f>
        <v>#DIV/0!</v>
      </c>
      <c r="D64" s="217" t="e">
        <f t="shared" si="22"/>
        <v>#DIV/0!</v>
      </c>
      <c r="E64" s="217" t="e">
        <f t="shared" si="22"/>
        <v>#DIV/0!</v>
      </c>
      <c r="F64" s="217" t="e">
        <f t="shared" si="22"/>
        <v>#DIV/0!</v>
      </c>
    </row>
    <row r="65" spans="1:6">
      <c r="A65" s="56" t="s">
        <v>226</v>
      </c>
      <c r="B65" s="219"/>
      <c r="C65" s="219"/>
      <c r="D65" s="220"/>
      <c r="E65" s="220"/>
      <c r="F65" s="217"/>
    </row>
    <row r="66" spans="1:6">
      <c r="A66" s="70" t="s">
        <v>235</v>
      </c>
      <c r="B66" s="221" t="e">
        <f>B49/B14</f>
        <v>#DIV/0!</v>
      </c>
      <c r="C66" s="217" t="e">
        <f t="shared" ref="C66:E66" si="23">C49/C14</f>
        <v>#DIV/0!</v>
      </c>
      <c r="D66" s="217" t="e">
        <f t="shared" si="23"/>
        <v>#DIV/0!</v>
      </c>
      <c r="E66" s="217" t="e">
        <f t="shared" si="23"/>
        <v>#DIV/0!</v>
      </c>
      <c r="F66" s="217" t="e">
        <f>F49/F14</f>
        <v>#DIV/0!</v>
      </c>
    </row>
    <row r="67" spans="1:6">
      <c r="A67" s="70" t="s">
        <v>227</v>
      </c>
      <c r="B67" s="217" t="e">
        <f>B49/B30</f>
        <v>#DIV/0!</v>
      </c>
      <c r="C67" s="217" t="e">
        <f>C49/C30</f>
        <v>#DIV/0!</v>
      </c>
      <c r="D67" s="217" t="e">
        <f>D49/D30</f>
        <v>#DIV/0!</v>
      </c>
      <c r="E67" s="217" t="e">
        <f>E49/E30</f>
        <v>#DIV/0!</v>
      </c>
      <c r="F67" s="216" t="e">
        <f>AVERAGE(B67:E67)</f>
        <v>#DIV/0!</v>
      </c>
    </row>
    <row r="68" spans="1:6">
      <c r="A68" s="70" t="s">
        <v>132</v>
      </c>
      <c r="B68" s="217" t="e">
        <f>B49/B47</f>
        <v>#DIV/0!</v>
      </c>
      <c r="C68" s="217" t="e">
        <f t="shared" ref="C68:E68" si="24">C49/C47</f>
        <v>#DIV/0!</v>
      </c>
      <c r="D68" s="217" t="e">
        <f t="shared" si="24"/>
        <v>#DIV/0!</v>
      </c>
      <c r="E68" s="217" t="e">
        <f t="shared" si="24"/>
        <v>#DIV/0!</v>
      </c>
      <c r="F68" s="216" t="e">
        <f>AVERAGE(B68:E68)</f>
        <v>#DIV/0!</v>
      </c>
    </row>
    <row r="69" spans="1:6">
      <c r="A69" s="70" t="s">
        <v>236</v>
      </c>
      <c r="B69" s="217" t="e">
        <f>B44/B40</f>
        <v>#DIV/0!</v>
      </c>
      <c r="C69" s="217" t="e">
        <f t="shared" ref="C69:E69" si="25">C44/C40</f>
        <v>#DIV/0!</v>
      </c>
      <c r="D69" s="217" t="e">
        <f t="shared" si="25"/>
        <v>#DIV/0!</v>
      </c>
      <c r="E69" s="217" t="e">
        <f t="shared" si="25"/>
        <v>#DIV/0!</v>
      </c>
      <c r="F69" s="218" t="e">
        <f>AVERAGE(B69:E69)</f>
        <v>#DIV/0!</v>
      </c>
    </row>
    <row r="70" spans="1:6">
      <c r="A70" s="55" t="s">
        <v>228</v>
      </c>
      <c r="B70" s="217" t="e">
        <f>B42/B40</f>
        <v>#DIV/0!</v>
      </c>
      <c r="C70" s="217" t="e">
        <f>C42/C40</f>
        <v>#DIV/0!</v>
      </c>
      <c r="D70" s="217" t="e">
        <f>D42/D40</f>
        <v>#DIV/0!</v>
      </c>
      <c r="E70" s="217" t="e">
        <f t="shared" ref="E70" si="26">E42/E40</f>
        <v>#DIV/0!</v>
      </c>
      <c r="F70" s="216" t="e">
        <f>AVERAGE(B70:E70)</f>
        <v>#DIV/0!</v>
      </c>
    </row>
    <row r="71" spans="1:6" ht="16" thickBot="1">
      <c r="A71" s="68" t="s">
        <v>229</v>
      </c>
      <c r="B71" s="222" t="e">
        <f>B49/B40</f>
        <v>#DIV/0!</v>
      </c>
      <c r="C71" s="222" t="e">
        <f>C49/C40</f>
        <v>#DIV/0!</v>
      </c>
      <c r="D71" s="222" t="e">
        <f>D49/D40</f>
        <v>#DIV/0!</v>
      </c>
      <c r="E71" s="222" t="e">
        <f t="shared" ref="E71" si="27">E49/E40</f>
        <v>#DIV/0!</v>
      </c>
      <c r="F71" s="223" t="e">
        <f>AVERAGE(B71:E71)</f>
        <v>#DIV/0!</v>
      </c>
    </row>
    <row r="74" spans="1:6">
      <c r="B74" s="26" t="s">
        <v>423</v>
      </c>
      <c r="C74" s="26" t="s">
        <v>427</v>
      </c>
    </row>
  </sheetData>
  <mergeCells count="8">
    <mergeCell ref="A38:A39"/>
    <mergeCell ref="F38:F39"/>
    <mergeCell ref="A1:F1"/>
    <mergeCell ref="A2:F2"/>
    <mergeCell ref="A3:A4"/>
    <mergeCell ref="F3:F4"/>
    <mergeCell ref="A36:F36"/>
    <mergeCell ref="A37:F37"/>
  </mergeCells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'Financial 40'!$C$50:$C$52</xm:f>
          </x14:formula1>
          <xm:sqref>B52</xm:sqref>
        </x14:dataValidation>
        <x14:dataValidation type="list" allowBlank="1" showInputMessage="1" showErrorMessage="1">
          <x14:formula1>
            <xm:f>'Financial 40'!$C$46:$C$49</xm:f>
          </x14:formula1>
          <xm:sqref>B51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1:N80"/>
  <sheetViews>
    <sheetView topLeftCell="C1" zoomScaleNormal="100" workbookViewId="0">
      <selection activeCell="F4" sqref="F4"/>
    </sheetView>
  </sheetViews>
  <sheetFormatPr defaultRowHeight="14"/>
  <cols>
    <col min="1" max="2" width="8.7265625" style="26"/>
    <col min="3" max="3" width="33.08984375" style="26" bestFit="1" customWidth="1"/>
    <col min="4" max="4" width="15.453125" style="26" bestFit="1" customWidth="1"/>
    <col min="5" max="6" width="15.453125" style="26" customWidth="1"/>
    <col min="7" max="7" width="21.36328125" style="26" bestFit="1" customWidth="1"/>
    <col min="8" max="8" width="21.36328125" style="26" customWidth="1"/>
    <col min="9" max="9" width="21.36328125" style="26" bestFit="1" customWidth="1"/>
    <col min="10" max="10" width="15.54296875" style="26" customWidth="1"/>
    <col min="11" max="16384" width="8.7265625" style="26"/>
  </cols>
  <sheetData>
    <row r="1" spans="2:14">
      <c r="B1" s="327" t="s">
        <v>363</v>
      </c>
      <c r="C1" s="327"/>
      <c r="D1" s="327"/>
      <c r="E1" s="327"/>
      <c r="F1" s="327"/>
      <c r="G1" s="327"/>
      <c r="H1" s="327"/>
      <c r="I1" s="327"/>
      <c r="J1" s="108"/>
      <c r="K1" s="108"/>
      <c r="L1" s="108"/>
      <c r="M1" s="108"/>
      <c r="N1" s="108"/>
    </row>
    <row r="2" spans="2:14" ht="14.5" thickBot="1">
      <c r="C2" s="108" t="s">
        <v>453</v>
      </c>
    </row>
    <row r="3" spans="2:14" ht="14.5" thickBot="1">
      <c r="B3" s="151" t="s">
        <v>364</v>
      </c>
      <c r="C3" s="152" t="s">
        <v>451</v>
      </c>
      <c r="D3" s="155" t="s">
        <v>456</v>
      </c>
      <c r="E3" s="155" t="s">
        <v>459</v>
      </c>
      <c r="F3" s="155" t="s">
        <v>460</v>
      </c>
      <c r="G3" s="154" t="s">
        <v>452</v>
      </c>
      <c r="H3" s="227" t="s">
        <v>471</v>
      </c>
      <c r="I3" s="154" t="s">
        <v>365</v>
      </c>
      <c r="J3" s="157" t="s">
        <v>366</v>
      </c>
    </row>
    <row r="4" spans="2:14" ht="14.5" thickBot="1">
      <c r="B4" s="328">
        <v>1</v>
      </c>
      <c r="C4" s="332" t="s">
        <v>367</v>
      </c>
      <c r="D4" s="255"/>
      <c r="E4" s="255"/>
      <c r="F4" s="255"/>
      <c r="G4" s="256"/>
      <c r="H4" s="256"/>
      <c r="I4" s="256"/>
      <c r="J4" s="256"/>
    </row>
    <row r="5" spans="2:14" ht="14.5" thickBot="1">
      <c r="B5" s="329"/>
      <c r="C5" s="333"/>
      <c r="D5" s="255"/>
      <c r="E5" s="255"/>
      <c r="F5" s="255"/>
      <c r="G5" s="256"/>
      <c r="H5" s="256"/>
      <c r="I5" s="256"/>
      <c r="J5" s="256"/>
    </row>
    <row r="6" spans="2:14" ht="14.5" thickBot="1">
      <c r="B6" s="329"/>
      <c r="C6" s="333"/>
      <c r="D6" s="255"/>
      <c r="E6" s="255"/>
      <c r="F6" s="255"/>
      <c r="G6" s="256"/>
      <c r="H6" s="256"/>
      <c r="I6" s="256"/>
      <c r="J6" s="256"/>
    </row>
    <row r="7" spans="2:14" ht="14.5" thickBot="1">
      <c r="B7" s="329"/>
      <c r="C7" s="333"/>
      <c r="D7" s="255"/>
      <c r="E7" s="255"/>
      <c r="F7" s="255"/>
      <c r="G7" s="256"/>
      <c r="H7" s="256"/>
      <c r="I7" s="256"/>
      <c r="J7" s="256"/>
    </row>
    <row r="8" spans="2:14" ht="14.5" thickBot="1">
      <c r="B8" s="329"/>
      <c r="C8" s="333"/>
      <c r="D8" s="255"/>
      <c r="E8" s="255"/>
      <c r="F8" s="255"/>
      <c r="G8" s="256"/>
      <c r="H8" s="256"/>
      <c r="I8" s="256"/>
      <c r="J8" s="256"/>
    </row>
    <row r="9" spans="2:14" ht="14.5" thickBot="1">
      <c r="B9" s="329"/>
      <c r="C9" s="333"/>
      <c r="D9" s="255"/>
      <c r="E9" s="255"/>
      <c r="F9" s="255"/>
      <c r="G9" s="256"/>
      <c r="H9" s="256"/>
      <c r="I9" s="256"/>
      <c r="J9" s="256"/>
    </row>
    <row r="10" spans="2:14" ht="14.5" thickBot="1">
      <c r="B10" s="329"/>
      <c r="C10" s="333"/>
      <c r="D10" s="255"/>
      <c r="E10" s="255"/>
      <c r="F10" s="255"/>
      <c r="G10" s="256"/>
      <c r="H10" s="256"/>
      <c r="I10" s="256"/>
      <c r="J10" s="256"/>
    </row>
    <row r="11" spans="2:14" ht="14.5" thickBot="1">
      <c r="B11" s="329"/>
      <c r="C11" s="333"/>
      <c r="D11" s="255"/>
      <c r="E11" s="255"/>
      <c r="F11" s="255"/>
      <c r="G11" s="256"/>
      <c r="H11" s="256"/>
      <c r="I11" s="256"/>
      <c r="J11" s="256"/>
    </row>
    <row r="12" spans="2:14" ht="14.5" thickBot="1">
      <c r="B12" s="330"/>
      <c r="C12" s="334"/>
      <c r="D12" s="255"/>
      <c r="E12" s="255"/>
      <c r="F12" s="255"/>
      <c r="G12" s="256"/>
      <c r="H12" s="256"/>
      <c r="I12" s="256"/>
      <c r="J12" s="256"/>
    </row>
    <row r="13" spans="2:14" ht="14.5" thickBot="1">
      <c r="B13" s="331"/>
      <c r="C13" s="335"/>
      <c r="D13" s="255"/>
      <c r="E13" s="255"/>
      <c r="F13" s="255"/>
      <c r="G13" s="256"/>
      <c r="H13" s="256"/>
      <c r="I13" s="256"/>
      <c r="J13" s="256"/>
    </row>
    <row r="14" spans="2:14" s="230" customFormat="1" ht="15" customHeight="1" thickBot="1">
      <c r="B14" s="324" t="s">
        <v>102</v>
      </c>
      <c r="C14" s="325"/>
      <c r="D14" s="325"/>
      <c r="E14" s="325"/>
      <c r="F14" s="325"/>
      <c r="G14" s="326"/>
      <c r="H14" s="228">
        <f>SUM(H4:H13)</f>
        <v>0</v>
      </c>
      <c r="I14" s="228">
        <f>SUM(I4:I13)</f>
        <v>0</v>
      </c>
      <c r="J14" s="229"/>
    </row>
    <row r="15" spans="2:14" ht="14.5" thickBot="1">
      <c r="B15" s="339">
        <v>2</v>
      </c>
      <c r="C15" s="336" t="s">
        <v>368</v>
      </c>
      <c r="D15" s="257"/>
      <c r="E15" s="257"/>
      <c r="F15" s="257"/>
      <c r="G15" s="256"/>
      <c r="H15" s="256"/>
      <c r="I15" s="258"/>
      <c r="J15" s="256"/>
    </row>
    <row r="16" spans="2:14" ht="14.5" thickBot="1">
      <c r="B16" s="340"/>
      <c r="C16" s="337"/>
      <c r="D16" s="257"/>
      <c r="E16" s="257"/>
      <c r="F16" s="257"/>
      <c r="G16" s="256"/>
      <c r="H16" s="256"/>
      <c r="I16" s="258"/>
      <c r="J16" s="256"/>
    </row>
    <row r="17" spans="2:10" ht="14.5" thickBot="1">
      <c r="B17" s="340"/>
      <c r="C17" s="337"/>
      <c r="D17" s="257"/>
      <c r="E17" s="257"/>
      <c r="F17" s="257"/>
      <c r="G17" s="256"/>
      <c r="H17" s="256"/>
      <c r="I17" s="258"/>
      <c r="J17" s="256"/>
    </row>
    <row r="18" spans="2:10" ht="14.5" thickBot="1">
      <c r="B18" s="340"/>
      <c r="C18" s="337"/>
      <c r="D18" s="257"/>
      <c r="E18" s="257"/>
      <c r="F18" s="257"/>
      <c r="G18" s="256"/>
      <c r="H18" s="256"/>
      <c r="I18" s="258"/>
      <c r="J18" s="256"/>
    </row>
    <row r="19" spans="2:10" ht="14.5" thickBot="1">
      <c r="B19" s="340"/>
      <c r="C19" s="337"/>
      <c r="D19" s="257"/>
      <c r="E19" s="257"/>
      <c r="F19" s="257"/>
      <c r="G19" s="256"/>
      <c r="H19" s="256"/>
      <c r="I19" s="258"/>
      <c r="J19" s="256"/>
    </row>
    <row r="20" spans="2:10" ht="14.5" thickBot="1">
      <c r="B20" s="340"/>
      <c r="C20" s="337"/>
      <c r="D20" s="257"/>
      <c r="E20" s="257"/>
      <c r="F20" s="257"/>
      <c r="G20" s="256"/>
      <c r="H20" s="256"/>
      <c r="I20" s="258"/>
      <c r="J20" s="256"/>
    </row>
    <row r="21" spans="2:10" ht="14.5" thickBot="1">
      <c r="B21" s="340"/>
      <c r="C21" s="337"/>
      <c r="D21" s="257"/>
      <c r="E21" s="257"/>
      <c r="F21" s="257"/>
      <c r="G21" s="256"/>
      <c r="H21" s="256"/>
      <c r="I21" s="258"/>
      <c r="J21" s="256"/>
    </row>
    <row r="22" spans="2:10" ht="14.5" thickBot="1">
      <c r="B22" s="340"/>
      <c r="C22" s="337"/>
      <c r="D22" s="257"/>
      <c r="E22" s="257"/>
      <c r="F22" s="257"/>
      <c r="G22" s="256"/>
      <c r="H22" s="256"/>
      <c r="I22" s="258"/>
      <c r="J22" s="256"/>
    </row>
    <row r="23" spans="2:10" ht="14.5" thickBot="1">
      <c r="B23" s="340"/>
      <c r="C23" s="337"/>
      <c r="D23" s="257"/>
      <c r="E23" s="257"/>
      <c r="F23" s="257"/>
      <c r="G23" s="256"/>
      <c r="H23" s="256"/>
      <c r="I23" s="258"/>
      <c r="J23" s="256"/>
    </row>
    <row r="24" spans="2:10" ht="14.5" thickBot="1">
      <c r="B24" s="340"/>
      <c r="C24" s="337"/>
      <c r="D24" s="257"/>
      <c r="E24" s="257"/>
      <c r="F24" s="257"/>
      <c r="G24" s="256"/>
      <c r="H24" s="256"/>
      <c r="I24" s="258"/>
      <c r="J24" s="256"/>
    </row>
    <row r="25" spans="2:10" ht="14.5" thickBot="1">
      <c r="B25" s="340"/>
      <c r="C25" s="338"/>
      <c r="D25" s="257"/>
      <c r="E25" s="259"/>
      <c r="F25" s="259"/>
      <c r="G25" s="260"/>
      <c r="H25" s="256"/>
      <c r="I25" s="258"/>
      <c r="J25" s="256"/>
    </row>
    <row r="26" spans="2:10" s="230" customFormat="1" ht="15" customHeight="1" thickBot="1">
      <c r="B26" s="321" t="s">
        <v>102</v>
      </c>
      <c r="C26" s="322"/>
      <c r="D26" s="322"/>
      <c r="E26" s="322"/>
      <c r="F26" s="322"/>
      <c r="G26" s="323"/>
      <c r="H26" s="231">
        <f>SUM(H15:H25)</f>
        <v>0</v>
      </c>
      <c r="I26" s="231">
        <f>SUM(I15:I25)</f>
        <v>0</v>
      </c>
      <c r="J26" s="229"/>
    </row>
    <row r="27" spans="2:10" s="232" customFormat="1" ht="15" customHeight="1" thickBot="1">
      <c r="B27" s="321" t="s">
        <v>369</v>
      </c>
      <c r="C27" s="322"/>
      <c r="D27" s="322"/>
      <c r="E27" s="322"/>
      <c r="F27" s="322"/>
      <c r="G27" s="323"/>
      <c r="H27" s="231">
        <f>H26+H14</f>
        <v>0</v>
      </c>
      <c r="I27" s="231">
        <f>I26+I14</f>
        <v>0</v>
      </c>
      <c r="J27" s="229"/>
    </row>
    <row r="29" spans="2:10" ht="14.5" thickBot="1">
      <c r="C29" s="108" t="s">
        <v>454</v>
      </c>
    </row>
    <row r="30" spans="2:10" ht="14.5" thickBot="1">
      <c r="B30" s="151" t="s">
        <v>364</v>
      </c>
      <c r="C30" s="152" t="s">
        <v>455</v>
      </c>
      <c r="D30" s="155" t="s">
        <v>456</v>
      </c>
      <c r="E30" s="166" t="s">
        <v>459</v>
      </c>
      <c r="F30" s="166" t="s">
        <v>460</v>
      </c>
      <c r="G30" s="154" t="s">
        <v>452</v>
      </c>
      <c r="H30" s="227" t="str">
        <f>H3</f>
        <v>Amount Granted</v>
      </c>
      <c r="I30" s="156" t="s">
        <v>365</v>
      </c>
      <c r="J30" s="153" t="s">
        <v>366</v>
      </c>
    </row>
    <row r="31" spans="2:10" ht="14.5" thickBot="1">
      <c r="B31" s="328">
        <v>1</v>
      </c>
      <c r="C31" s="332" t="s">
        <v>367</v>
      </c>
      <c r="D31" s="257"/>
      <c r="E31" s="257"/>
      <c r="F31" s="257"/>
      <c r="G31" s="256"/>
      <c r="H31" s="256"/>
      <c r="I31" s="256"/>
      <c r="J31" s="256"/>
    </row>
    <row r="32" spans="2:10" ht="14.5" thickBot="1">
      <c r="B32" s="329"/>
      <c r="C32" s="333"/>
      <c r="D32" s="257"/>
      <c r="E32" s="257"/>
      <c r="F32" s="257"/>
      <c r="G32" s="256"/>
      <c r="H32" s="256"/>
      <c r="I32" s="256"/>
      <c r="J32" s="256"/>
    </row>
    <row r="33" spans="2:10" ht="14.5" thickBot="1">
      <c r="B33" s="329"/>
      <c r="C33" s="333"/>
      <c r="D33" s="257"/>
      <c r="E33" s="257"/>
      <c r="F33" s="257"/>
      <c r="G33" s="256"/>
      <c r="H33" s="256"/>
      <c r="I33" s="256"/>
      <c r="J33" s="256"/>
    </row>
    <row r="34" spans="2:10" ht="14.5" thickBot="1">
      <c r="B34" s="329"/>
      <c r="C34" s="333"/>
      <c r="D34" s="257"/>
      <c r="E34" s="257"/>
      <c r="F34" s="257"/>
      <c r="G34" s="256"/>
      <c r="H34" s="256"/>
      <c r="I34" s="256"/>
      <c r="J34" s="256"/>
    </row>
    <row r="35" spans="2:10" ht="14.5" thickBot="1">
      <c r="B35" s="329"/>
      <c r="C35" s="333"/>
      <c r="D35" s="257"/>
      <c r="E35" s="257"/>
      <c r="F35" s="257"/>
      <c r="G35" s="256"/>
      <c r="H35" s="256"/>
      <c r="I35" s="256"/>
      <c r="J35" s="256"/>
    </row>
    <row r="36" spans="2:10" ht="14.5" thickBot="1">
      <c r="B36" s="329"/>
      <c r="C36" s="333"/>
      <c r="D36" s="257"/>
      <c r="E36" s="257"/>
      <c r="F36" s="257"/>
      <c r="G36" s="256"/>
      <c r="H36" s="256"/>
      <c r="I36" s="256"/>
      <c r="J36" s="256"/>
    </row>
    <row r="37" spans="2:10" ht="14.5" thickBot="1">
      <c r="B37" s="329"/>
      <c r="C37" s="333"/>
      <c r="D37" s="257"/>
      <c r="E37" s="257"/>
      <c r="F37" s="257"/>
      <c r="G37" s="256"/>
      <c r="H37" s="256"/>
      <c r="I37" s="256"/>
      <c r="J37" s="256"/>
    </row>
    <row r="38" spans="2:10" ht="14.5" thickBot="1">
      <c r="B38" s="329"/>
      <c r="C38" s="333"/>
      <c r="D38" s="257"/>
      <c r="E38" s="257"/>
      <c r="F38" s="257"/>
      <c r="G38" s="256"/>
      <c r="H38" s="256"/>
      <c r="I38" s="256"/>
      <c r="J38" s="256"/>
    </row>
    <row r="39" spans="2:10" ht="14.5" thickBot="1">
      <c r="B39" s="329"/>
      <c r="C39" s="333"/>
      <c r="D39" s="257"/>
      <c r="E39" s="257"/>
      <c r="F39" s="257"/>
      <c r="G39" s="256"/>
      <c r="H39" s="256"/>
      <c r="I39" s="256"/>
      <c r="J39" s="256"/>
    </row>
    <row r="40" spans="2:10" ht="14.5" thickBot="1">
      <c r="B40" s="329"/>
      <c r="C40" s="333"/>
      <c r="D40" s="257"/>
      <c r="E40" s="257"/>
      <c r="F40" s="257"/>
      <c r="G40" s="256"/>
      <c r="H40" s="256"/>
      <c r="I40" s="256"/>
      <c r="J40" s="256"/>
    </row>
    <row r="41" spans="2:10" ht="14.5" thickBot="1">
      <c r="B41" s="329"/>
      <c r="C41" s="333"/>
      <c r="D41" s="257"/>
      <c r="E41" s="257"/>
      <c r="F41" s="257"/>
      <c r="G41" s="256"/>
      <c r="H41" s="256"/>
      <c r="I41" s="256"/>
      <c r="J41" s="256"/>
    </row>
    <row r="42" spans="2:10" ht="14.5" thickBot="1">
      <c r="B42" s="329"/>
      <c r="C42" s="333"/>
      <c r="D42" s="257"/>
      <c r="E42" s="257"/>
      <c r="F42" s="257"/>
      <c r="G42" s="256"/>
      <c r="H42" s="256"/>
      <c r="I42" s="256"/>
      <c r="J42" s="256"/>
    </row>
    <row r="43" spans="2:10" ht="14.5" thickBot="1">
      <c r="B43" s="329"/>
      <c r="C43" s="333"/>
      <c r="D43" s="257"/>
      <c r="E43" s="257"/>
      <c r="F43" s="257"/>
      <c r="G43" s="256"/>
      <c r="H43" s="256"/>
      <c r="I43" s="256"/>
      <c r="J43" s="256"/>
    </row>
    <row r="44" spans="2:10" ht="14.5" thickBot="1">
      <c r="B44" s="329"/>
      <c r="C44" s="333"/>
      <c r="D44" s="257"/>
      <c r="E44" s="257"/>
      <c r="F44" s="257"/>
      <c r="G44" s="256"/>
      <c r="H44" s="256"/>
      <c r="I44" s="256"/>
      <c r="J44" s="256"/>
    </row>
    <row r="45" spans="2:10" ht="14.5" thickBot="1">
      <c r="B45" s="329"/>
      <c r="C45" s="333"/>
      <c r="D45" s="257"/>
      <c r="E45" s="257"/>
      <c r="F45" s="257"/>
      <c r="G45" s="256"/>
      <c r="H45" s="256"/>
      <c r="I45" s="256"/>
      <c r="J45" s="256"/>
    </row>
    <row r="46" spans="2:10" ht="14.5" thickBot="1">
      <c r="B46" s="329"/>
      <c r="C46" s="333"/>
      <c r="D46" s="257"/>
      <c r="E46" s="257"/>
      <c r="F46" s="257"/>
      <c r="G46" s="256"/>
      <c r="H46" s="256"/>
      <c r="I46" s="256"/>
      <c r="J46" s="256"/>
    </row>
    <row r="47" spans="2:10" ht="14.5" thickBot="1">
      <c r="B47" s="330"/>
      <c r="C47" s="334"/>
      <c r="D47" s="257"/>
      <c r="E47" s="257"/>
      <c r="F47" s="257"/>
      <c r="G47" s="256"/>
      <c r="H47" s="256"/>
      <c r="I47" s="256"/>
      <c r="J47" s="256"/>
    </row>
    <row r="48" spans="2:10" ht="14.5" thickBot="1">
      <c r="B48" s="331"/>
      <c r="C48" s="335"/>
      <c r="D48" s="257"/>
      <c r="E48" s="257"/>
      <c r="F48" s="257"/>
      <c r="G48" s="256"/>
      <c r="H48" s="256"/>
      <c r="I48" s="256"/>
      <c r="J48" s="256"/>
    </row>
    <row r="49" spans="2:10" s="230" customFormat="1" ht="15" customHeight="1" thickBot="1">
      <c r="B49" s="324" t="s">
        <v>457</v>
      </c>
      <c r="C49" s="325"/>
      <c r="D49" s="325"/>
      <c r="E49" s="325"/>
      <c r="F49" s="325"/>
      <c r="G49" s="326"/>
      <c r="H49" s="228">
        <f>SUM(H31:H48)</f>
        <v>0</v>
      </c>
      <c r="I49" s="228">
        <f>SUM(I31:I48)</f>
        <v>0</v>
      </c>
      <c r="J49" s="229"/>
    </row>
    <row r="50" spans="2:10" ht="14.5" thickBot="1">
      <c r="B50" s="341">
        <v>2</v>
      </c>
      <c r="C50" s="336" t="s">
        <v>368</v>
      </c>
      <c r="D50" s="257"/>
      <c r="E50" s="257"/>
      <c r="F50" s="257"/>
      <c r="G50" s="256"/>
      <c r="H50" s="256"/>
      <c r="I50" s="258"/>
      <c r="J50" s="256"/>
    </row>
    <row r="51" spans="2:10" ht="14.5" thickBot="1">
      <c r="B51" s="342"/>
      <c r="C51" s="337"/>
      <c r="D51" s="257"/>
      <c r="E51" s="257"/>
      <c r="F51" s="257"/>
      <c r="G51" s="256"/>
      <c r="H51" s="256"/>
      <c r="I51" s="258"/>
      <c r="J51" s="256"/>
    </row>
    <row r="52" spans="2:10" ht="14.5" thickBot="1">
      <c r="B52" s="342"/>
      <c r="C52" s="337"/>
      <c r="D52" s="257"/>
      <c r="E52" s="257"/>
      <c r="F52" s="257"/>
      <c r="G52" s="256"/>
      <c r="H52" s="256"/>
      <c r="I52" s="258"/>
      <c r="J52" s="256"/>
    </row>
    <row r="53" spans="2:10" ht="14.5" thickBot="1">
      <c r="B53" s="342"/>
      <c r="C53" s="337"/>
      <c r="D53" s="257"/>
      <c r="E53" s="257"/>
      <c r="F53" s="257"/>
      <c r="G53" s="256"/>
      <c r="H53" s="256"/>
      <c r="I53" s="258"/>
      <c r="J53" s="256"/>
    </row>
    <row r="54" spans="2:10" ht="14.5" thickBot="1">
      <c r="B54" s="342"/>
      <c r="C54" s="337"/>
      <c r="D54" s="257"/>
      <c r="E54" s="257"/>
      <c r="F54" s="257"/>
      <c r="G54" s="256"/>
      <c r="H54" s="256"/>
      <c r="I54" s="258"/>
      <c r="J54" s="256"/>
    </row>
    <row r="55" spans="2:10" ht="14.5" thickBot="1">
      <c r="B55" s="342"/>
      <c r="C55" s="337"/>
      <c r="D55" s="257"/>
      <c r="E55" s="257"/>
      <c r="F55" s="257"/>
      <c r="G55" s="256"/>
      <c r="H55" s="256"/>
      <c r="I55" s="258"/>
      <c r="J55" s="256"/>
    </row>
    <row r="56" spans="2:10" ht="14.5" thickBot="1">
      <c r="B56" s="342"/>
      <c r="C56" s="337"/>
      <c r="D56" s="257"/>
      <c r="E56" s="257"/>
      <c r="F56" s="257"/>
      <c r="G56" s="256"/>
      <c r="H56" s="256"/>
      <c r="I56" s="258"/>
      <c r="J56" s="256"/>
    </row>
    <row r="57" spans="2:10" ht="14.5" thickBot="1">
      <c r="B57" s="342"/>
      <c r="C57" s="337"/>
      <c r="D57" s="257"/>
      <c r="E57" s="257"/>
      <c r="F57" s="257"/>
      <c r="G57" s="256"/>
      <c r="H57" s="256"/>
      <c r="I57" s="258"/>
      <c r="J57" s="256"/>
    </row>
    <row r="58" spans="2:10" ht="14.5" thickBot="1">
      <c r="B58" s="342"/>
      <c r="C58" s="337"/>
      <c r="D58" s="257"/>
      <c r="E58" s="257"/>
      <c r="F58" s="257"/>
      <c r="G58" s="256"/>
      <c r="H58" s="256"/>
      <c r="I58" s="258"/>
      <c r="J58" s="256"/>
    </row>
    <row r="59" spans="2:10" ht="14.5" thickBot="1">
      <c r="B59" s="342"/>
      <c r="C59" s="337"/>
      <c r="D59" s="257"/>
      <c r="E59" s="257"/>
      <c r="F59" s="257"/>
      <c r="G59" s="256"/>
      <c r="H59" s="256"/>
      <c r="I59" s="258"/>
      <c r="J59" s="256"/>
    </row>
    <row r="60" spans="2:10" ht="14.5" thickBot="1">
      <c r="B60" s="342"/>
      <c r="C60" s="337"/>
      <c r="D60" s="257"/>
      <c r="E60" s="257"/>
      <c r="F60" s="257"/>
      <c r="G60" s="256"/>
      <c r="H60" s="256"/>
      <c r="I60" s="258"/>
      <c r="J60" s="256"/>
    </row>
    <row r="61" spans="2:10" ht="14.5" thickBot="1">
      <c r="B61" s="342"/>
      <c r="C61" s="337"/>
      <c r="D61" s="257"/>
      <c r="E61" s="257"/>
      <c r="F61" s="257"/>
      <c r="G61" s="256"/>
      <c r="H61" s="256"/>
      <c r="I61" s="258"/>
      <c r="J61" s="256"/>
    </row>
    <row r="62" spans="2:10" ht="14.5" thickBot="1">
      <c r="B62" s="342"/>
      <c r="C62" s="337"/>
      <c r="D62" s="257"/>
      <c r="E62" s="257"/>
      <c r="F62" s="257"/>
      <c r="G62" s="256"/>
      <c r="H62" s="256"/>
      <c r="I62" s="258"/>
      <c r="J62" s="256"/>
    </row>
    <row r="63" spans="2:10" ht="14.5" thickBot="1">
      <c r="B63" s="342"/>
      <c r="C63" s="337"/>
      <c r="D63" s="257"/>
      <c r="E63" s="257"/>
      <c r="F63" s="257"/>
      <c r="G63" s="256"/>
      <c r="H63" s="256"/>
      <c r="I63" s="258"/>
      <c r="J63" s="256"/>
    </row>
    <row r="64" spans="2:10" ht="14.5" thickBot="1">
      <c r="B64" s="342"/>
      <c r="C64" s="337"/>
      <c r="D64" s="257"/>
      <c r="E64" s="257"/>
      <c r="F64" s="257"/>
      <c r="G64" s="256"/>
      <c r="H64" s="256"/>
      <c r="I64" s="258"/>
      <c r="J64" s="256"/>
    </row>
    <row r="65" spans="2:10" ht="14.5" thickBot="1">
      <c r="B65" s="342"/>
      <c r="C65" s="337"/>
      <c r="D65" s="257"/>
      <c r="E65" s="257"/>
      <c r="F65" s="257"/>
      <c r="G65" s="256"/>
      <c r="H65" s="256"/>
      <c r="I65" s="258"/>
      <c r="J65" s="256"/>
    </row>
    <row r="66" spans="2:10" ht="14.5" thickBot="1">
      <c r="B66" s="342"/>
      <c r="C66" s="337"/>
      <c r="D66" s="257"/>
      <c r="E66" s="257"/>
      <c r="F66" s="257"/>
      <c r="G66" s="256"/>
      <c r="H66" s="256"/>
      <c r="I66" s="258"/>
      <c r="J66" s="256"/>
    </row>
    <row r="67" spans="2:10" ht="14.5" thickBot="1">
      <c r="B67" s="342"/>
      <c r="C67" s="337"/>
      <c r="D67" s="257"/>
      <c r="E67" s="257"/>
      <c r="F67" s="257"/>
      <c r="G67" s="256"/>
      <c r="H67" s="256"/>
      <c r="I67" s="258"/>
      <c r="J67" s="256"/>
    </row>
    <row r="68" spans="2:10" ht="14.5" thickBot="1">
      <c r="B68" s="342"/>
      <c r="C68" s="337"/>
      <c r="D68" s="257"/>
      <c r="E68" s="257"/>
      <c r="F68" s="257"/>
      <c r="G68" s="256"/>
      <c r="H68" s="256"/>
      <c r="I68" s="258"/>
      <c r="J68" s="256"/>
    </row>
    <row r="69" spans="2:10" ht="14.5" thickBot="1">
      <c r="B69" s="342"/>
      <c r="C69" s="337"/>
      <c r="D69" s="257"/>
      <c r="E69" s="257"/>
      <c r="F69" s="257"/>
      <c r="G69" s="256"/>
      <c r="H69" s="256"/>
      <c r="I69" s="258"/>
      <c r="J69" s="256"/>
    </row>
    <row r="70" spans="2:10" ht="14.5" thickBot="1">
      <c r="B70" s="342"/>
      <c r="C70" s="337"/>
      <c r="D70" s="257"/>
      <c r="E70" s="257"/>
      <c r="F70" s="257"/>
      <c r="G70" s="256"/>
      <c r="H70" s="256"/>
      <c r="I70" s="258"/>
      <c r="J70" s="256"/>
    </row>
    <row r="71" spans="2:10" ht="14.5" thickBot="1">
      <c r="B71" s="342"/>
      <c r="C71" s="337"/>
      <c r="D71" s="257"/>
      <c r="E71" s="257"/>
      <c r="F71" s="257"/>
      <c r="G71" s="256"/>
      <c r="H71" s="256"/>
      <c r="I71" s="258"/>
      <c r="J71" s="256"/>
    </row>
    <row r="72" spans="2:10" ht="14.5" thickBot="1">
      <c r="B72" s="342"/>
      <c r="C72" s="337"/>
      <c r="D72" s="257"/>
      <c r="E72" s="257"/>
      <c r="F72" s="257"/>
      <c r="G72" s="256"/>
      <c r="H72" s="256"/>
      <c r="I72" s="258"/>
      <c r="J72" s="256"/>
    </row>
    <row r="73" spans="2:10" ht="14.5" thickBot="1">
      <c r="B73" s="342"/>
      <c r="C73" s="337"/>
      <c r="D73" s="257"/>
      <c r="E73" s="257"/>
      <c r="F73" s="257"/>
      <c r="G73" s="256"/>
      <c r="H73" s="256"/>
      <c r="I73" s="258"/>
      <c r="J73" s="256"/>
    </row>
    <row r="74" spans="2:10" ht="14.5" thickBot="1">
      <c r="B74" s="342"/>
      <c r="C74" s="337"/>
      <c r="D74" s="257"/>
      <c r="E74" s="257"/>
      <c r="F74" s="257"/>
      <c r="G74" s="256"/>
      <c r="H74" s="256"/>
      <c r="I74" s="258"/>
      <c r="J74" s="256"/>
    </row>
    <row r="75" spans="2:10" ht="14.5" thickBot="1">
      <c r="B75" s="343"/>
      <c r="C75" s="338"/>
      <c r="D75" s="257"/>
      <c r="E75" s="259"/>
      <c r="F75" s="259"/>
      <c r="G75" s="260"/>
      <c r="H75" s="256"/>
      <c r="I75" s="258"/>
      <c r="J75" s="256"/>
    </row>
    <row r="76" spans="2:10" s="230" customFormat="1" ht="15" customHeight="1" thickBot="1">
      <c r="B76" s="321" t="s">
        <v>457</v>
      </c>
      <c r="C76" s="322"/>
      <c r="D76" s="322"/>
      <c r="E76" s="322"/>
      <c r="F76" s="322"/>
      <c r="G76" s="323"/>
      <c r="H76" s="231">
        <f>SUM(H50:H75)</f>
        <v>0</v>
      </c>
      <c r="I76" s="231">
        <f>SUM(I50:I75)</f>
        <v>0</v>
      </c>
      <c r="J76" s="229"/>
    </row>
    <row r="77" spans="2:10" s="230" customFormat="1" ht="15" customHeight="1" thickBot="1">
      <c r="B77" s="321" t="s">
        <v>458</v>
      </c>
      <c r="C77" s="322"/>
      <c r="D77" s="322"/>
      <c r="E77" s="322"/>
      <c r="F77" s="322"/>
      <c r="G77" s="323"/>
      <c r="H77" s="233">
        <f>H76+H49</f>
        <v>0</v>
      </c>
      <c r="I77" s="233">
        <f>I76+I49</f>
        <v>0</v>
      </c>
      <c r="J77" s="234"/>
    </row>
    <row r="78" spans="2:10">
      <c r="J78" s="26" t="str" cm="1">
        <f t="array" ref="J78">IF(OR(J31:J77="Substandard",J31:J77="Doubtful",J31:J77="Loss"),"NPL","")</f>
        <v/>
      </c>
    </row>
    <row r="80" spans="2:10">
      <c r="C80" s="26" t="s">
        <v>423</v>
      </c>
      <c r="D80" s="26" t="s">
        <v>427</v>
      </c>
    </row>
  </sheetData>
  <sheetProtection algorithmName="SHA-512" hashValue="wfa7ISYGUjgGN7tOGfABle8OiJSdqUG2ow+MXwOipio30GRRPnznbI87+tZXvAXOAsyUQElOZX/Kem2x/dOA0g==" saltValue="ctF6sbX2amqc0ixTu8ysNQ==" spinCount="100000" sheet="1" objects="1" scenarios="1"/>
  <mergeCells count="15">
    <mergeCell ref="B76:G76"/>
    <mergeCell ref="B49:G49"/>
    <mergeCell ref="B77:G77"/>
    <mergeCell ref="B31:B48"/>
    <mergeCell ref="C31:C48"/>
    <mergeCell ref="B50:B75"/>
    <mergeCell ref="C50:C75"/>
    <mergeCell ref="B26:G26"/>
    <mergeCell ref="B27:G27"/>
    <mergeCell ref="B14:G14"/>
    <mergeCell ref="B1:I1"/>
    <mergeCell ref="B4:B13"/>
    <mergeCell ref="C4:C13"/>
    <mergeCell ref="C15:C25"/>
    <mergeCell ref="B15:B25"/>
  </mergeCells>
  <dataValidations count="4">
    <dataValidation type="list" allowBlank="1" showInputMessage="1" showErrorMessage="1" sqref="J4:J13 J15:J25 J31:J48 J50:J75">
      <formula1>"Pass, Special Mention, Substandard, Doubtful, Loss"</formula1>
    </dataValidation>
    <dataValidation type="list" allowBlank="1" showInputMessage="1" showErrorMessage="1" sqref="G4:G13 G31:G48">
      <formula1>"Revolding Pre-Shipment, Revolding Merchandise, Export Overdraft, Import Overdraft, Manufacturing Overdraft, DTS Overdraft, Building &amp; Construction Overdraft"</formula1>
    </dataValidation>
    <dataValidation type="list" allowBlank="1" showInputMessage="1" showErrorMessage="1" sqref="G15:G25 G50:G75">
      <formula1>"Agri Term Loan, Manufacturing Term Loan, Export Term Loan, Import Term Loan, DTS Term Loan, Building &amp; Construction Term Loan, Machinery Term Loan, Consumer LOan"</formula1>
    </dataValidation>
    <dataValidation type="list" showInputMessage="1" showErrorMessage="1" sqref="D11:F13">
      <formula1>"CoopBank"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K42"/>
  <sheetViews>
    <sheetView workbookViewId="0">
      <selection activeCell="I18" sqref="I18"/>
    </sheetView>
  </sheetViews>
  <sheetFormatPr defaultRowHeight="14.5"/>
  <cols>
    <col min="1" max="1" width="3.90625" bestFit="1" customWidth="1"/>
    <col min="2" max="2" width="26.36328125" bestFit="1" customWidth="1"/>
    <col min="3" max="3" width="18.453125" customWidth="1"/>
    <col min="4" max="4" width="5.7265625" hidden="1" customWidth="1"/>
    <col min="5" max="5" width="16.08984375" style="84" bestFit="1" customWidth="1"/>
    <col min="6" max="6" width="12.26953125" customWidth="1"/>
    <col min="7" max="7" width="20.81640625" hidden="1" customWidth="1"/>
    <col min="8" max="8" width="15.7265625" hidden="1" customWidth="1"/>
    <col min="9" max="9" width="16.08984375" style="84" bestFit="1" customWidth="1"/>
    <col min="10" max="10" width="1.81640625" hidden="1" customWidth="1"/>
  </cols>
  <sheetData>
    <row r="2" spans="1:11" ht="15" thickBot="1"/>
    <row r="3" spans="1:11" ht="29" customHeight="1" thickBot="1">
      <c r="A3" s="141" t="s">
        <v>385</v>
      </c>
      <c r="B3" s="141" t="s">
        <v>71</v>
      </c>
      <c r="C3" s="141" t="s">
        <v>388</v>
      </c>
      <c r="D3" s="142" t="s">
        <v>389</v>
      </c>
      <c r="E3" s="143" t="s">
        <v>85</v>
      </c>
      <c r="F3" s="141" t="s">
        <v>398</v>
      </c>
      <c r="G3" s="144" t="s">
        <v>390</v>
      </c>
      <c r="H3" s="145" t="s">
        <v>386</v>
      </c>
      <c r="I3" s="143" t="s">
        <v>387</v>
      </c>
    </row>
    <row r="4" spans="1:11" ht="16" thickBot="1">
      <c r="A4" s="261">
        <v>1</v>
      </c>
      <c r="B4" s="262"/>
      <c r="C4" s="262"/>
      <c r="D4" s="263"/>
      <c r="E4" s="264"/>
      <c r="F4" s="262"/>
      <c r="G4" s="265"/>
      <c r="H4" s="266"/>
      <c r="I4" s="264"/>
      <c r="J4">
        <f>B4</f>
        <v>0</v>
      </c>
      <c r="K4" s="82"/>
    </row>
    <row r="5" spans="1:11" ht="16" thickBot="1">
      <c r="A5" s="261">
        <v>2</v>
      </c>
      <c r="B5" s="262"/>
      <c r="C5" s="262"/>
      <c r="D5" s="267">
        <f t="shared" ref="D5:D28" ca="1" si="0">YEAR(TODAY())-C5</f>
        <v>2026</v>
      </c>
      <c r="E5" s="264"/>
      <c r="F5" s="262"/>
      <c r="G5" s="268" t="b">
        <f>IF(OR(B5='Security Related Factor'!$D$10,B5='Security Related Factor'!$D$11),IF(AND(D5&gt;3,F5="Invoice"),0,1))</f>
        <v>0</v>
      </c>
      <c r="H5" s="266">
        <f>IF(AND(B5&lt;&gt;'Security Related Factor'!$D$10,B5&lt;&gt;'Security Related Factor'!$D$11,B5&lt;&gt;'Security Related Factor'!$D$15,B5&lt;&gt;'Security Related Factor'!$D$16,B5&lt;&gt;'Security Related Factor'!$D$19),100%,
IF(OR(B5='Security Related Factor'!$D$15,B5='Security Related Factor'!$D$16,B5='Security Related Factor'!$D$19),0%,
IF(OR(B5='Security Related Factor'!$D$10,B5='Security Related Factor'!$D$11),IF(AND(D5&lt;=1,F5="Invoice"),90%*G5,
IF(OR(B5='Security Related Factor'!$D$10,B5='Security Related Factor'!$D$11),IF(AND(D5&gt;1,D5&lt;=3,F5="Invoice"),80%*G5,
IF(OR(B5='Security Related Factor'!$D$10,B5='Security Related Factor'!$D$11),IF(AND(D5&gt;4,F5="Invoice"),0%*G5,
IF(OR(B5='Security Related Factor'!$D$10,B5='Security Related Factor'!$D$11),IF(AND(D5&lt;=1,F5="Insurance"),80%*G5,
IF(OR(B5='Security Related Factor'!$D$10,B5='Security Related Factor'!$D$11),IF(AND(D5&gt;1,D5&lt;=3,F5="Insurance"),70%*G5,
IF(OR(B5='Security Related Factor'!$D$10,B5='Security Related Factor'!$D$11),IF(AND(D5&gt;3,D5&lt;=5,F5="Insurance"),60%*G5,
IF(OR(B5='Security Related Factor'!$D$10,B5='Security Related Factor'!$D$11),IF(AND(D5&gt;5,D5&lt;=7,F5="Insurance"),50%*G5,
IF(OR(B5='Security Related Factor'!$D$10,B5='Security Related Factor'!$D$11),IF(AND(D5&gt;7,D5&lt;=10,F5="Insurance"),40%*G5,
IF(OR(B5='Security Related Factor'!$D$10,B5='Security Related Factor'!$D$11),IF(AND(D5&gt;10,D5&lt;=15,F5="Insurance"),25%*G5,
IF(OR(B5='Security Related Factor'!$D$10,B5='Security Related Factor'!$D$11),IF(AND(D5&gt;15,F5="Insurance"),0%*G5))))))))))))))))))))))</f>
        <v>1</v>
      </c>
      <c r="I5" s="264" t="str">
        <f>IF(B5="","",H5*E5)</f>
        <v/>
      </c>
      <c r="J5">
        <f t="shared" ref="J5:J37" si="1">B5</f>
        <v>0</v>
      </c>
      <c r="K5" s="82"/>
    </row>
    <row r="6" spans="1:11" ht="16" thickBot="1">
      <c r="A6" s="261">
        <v>3</v>
      </c>
      <c r="B6" s="262"/>
      <c r="C6" s="262"/>
      <c r="D6" s="267">
        <f t="shared" ca="1" si="0"/>
        <v>2026</v>
      </c>
      <c r="E6" s="264"/>
      <c r="F6" s="262"/>
      <c r="G6" s="268" t="b">
        <f>IF(OR(B6='Security Related Factor'!$D$10,B6='Security Related Factor'!$D$11),IF(AND(D6&gt;3,F6="Invoice"),0,1))</f>
        <v>0</v>
      </c>
      <c r="H6" s="266">
        <f>IF(AND(B6&lt;&gt;'Security Related Factor'!$D$10,B6&lt;&gt;'Security Related Factor'!$D$11,B6&lt;&gt;'Security Related Factor'!$D$15,B6&lt;&gt;'Security Related Factor'!$D$16,B6&lt;&gt;'Security Related Factor'!$D$19),100%,
IF(OR(B6='Security Related Factor'!$D$15,B6='Security Related Factor'!$D$16,B6='Security Related Factor'!$D$19),0%,
IF(OR(B6='Security Related Factor'!$D$10,B6='Security Related Factor'!$D$11),IF(AND(D6&lt;=1,F6="Invoice"),90%*G6,
IF(OR(B6='Security Related Factor'!$D$10,B6='Security Related Factor'!$D$11),IF(AND(D6&gt;1,D6&lt;=3,F6="Invoice"),80%*G6,
IF(OR(B6='Security Related Factor'!$D$10,B6='Security Related Factor'!$D$11),IF(AND(D6&gt;4,F6="Invoice"),0%*G6,
IF(OR(B6='Security Related Factor'!$D$10,B6='Security Related Factor'!$D$11),IF(AND(D6&lt;=1,F6="Insurance"),80%*G6,
IF(OR(B6='Security Related Factor'!$D$10,B6='Security Related Factor'!$D$11),IF(AND(D6&gt;1,D6&lt;=3,F6="Insurance"),70%*G6,
IF(OR(B6='Security Related Factor'!$D$10,B6='Security Related Factor'!$D$11),IF(AND(D6&gt;3,D6&lt;=5,F6="Insurance"),60%*G6,
IF(OR(B6='Security Related Factor'!$D$10,B6='Security Related Factor'!$D$11),IF(AND(D6&gt;5,D6&lt;=7,F6="Insurance"),50%*G6,
IF(OR(B6='Security Related Factor'!$D$10,B6='Security Related Factor'!$D$11),IF(AND(D6&gt;7,D6&lt;=10,F6="Insurance"),40%*G6,
IF(OR(B6='Security Related Factor'!$D$10,B6='Security Related Factor'!$D$11),IF(AND(D6&gt;10,D6&lt;=15,F6="Insurance"),25%*G6,
IF(OR(B6='Security Related Factor'!$D$10,B6='Security Related Factor'!$D$11),IF(AND(D6&gt;15,F6="Insurance"),0%*G6))))))))))))))))))))))</f>
        <v>1</v>
      </c>
      <c r="I6" s="264" t="str">
        <f t="shared" ref="I6:I37" si="2">IF(B6="","",H6*E6)</f>
        <v/>
      </c>
      <c r="J6">
        <f t="shared" si="1"/>
        <v>0</v>
      </c>
      <c r="K6" s="82"/>
    </row>
    <row r="7" spans="1:11" ht="16" thickBot="1">
      <c r="A7" s="261">
        <v>4</v>
      </c>
      <c r="B7" s="262"/>
      <c r="C7" s="262"/>
      <c r="D7" s="267">
        <f t="shared" ca="1" si="0"/>
        <v>2026</v>
      </c>
      <c r="E7" s="264"/>
      <c r="F7" s="262"/>
      <c r="G7" s="268" t="b">
        <f>IF(OR(B7='Security Related Factor'!$D$10,B7='Security Related Factor'!$D$11),IF(AND(D7&gt;3,F7="Invoice"),0,1))</f>
        <v>0</v>
      </c>
      <c r="H7" s="266">
        <f>IF(AND(B7&lt;&gt;'Security Related Factor'!$D$10,B7&lt;&gt;'Security Related Factor'!$D$11,B7&lt;&gt;'Security Related Factor'!$D$15,B7&lt;&gt;'Security Related Factor'!$D$16,B7&lt;&gt;'Security Related Factor'!$D$19),100%,
IF(OR(B7='Security Related Factor'!$D$15,B7='Security Related Factor'!$D$16,B7='Security Related Factor'!$D$19),0%,
IF(OR(B7='Security Related Factor'!$D$10,B7='Security Related Factor'!$D$11),IF(AND(D7&lt;=1,F7="Invoice"),90%*G7,
IF(OR(B7='Security Related Factor'!$D$10,B7='Security Related Factor'!$D$11),IF(AND(D7&gt;1,D7&lt;=3,F7="Invoice"),80%*G7,
IF(OR(B7='Security Related Factor'!$D$10,B7='Security Related Factor'!$D$11),IF(AND(D7&gt;4,F7="Invoice"),0%*G7,
IF(OR(B7='Security Related Factor'!$D$10,B7='Security Related Factor'!$D$11),IF(AND(D7&lt;=1,F7="Insurance"),80%*G7,
IF(OR(B7='Security Related Factor'!$D$10,B7='Security Related Factor'!$D$11),IF(AND(D7&gt;1,D7&lt;=3,F7="Insurance"),70%*G7,
IF(OR(B7='Security Related Factor'!$D$10,B7='Security Related Factor'!$D$11),IF(AND(D7&gt;3,D7&lt;=5,F7="Insurance"),60%*G7,
IF(OR(B7='Security Related Factor'!$D$10,B7='Security Related Factor'!$D$11),IF(AND(D7&gt;5,D7&lt;=7,F7="Insurance"),50%*G7,
IF(OR(B7='Security Related Factor'!$D$10,B7='Security Related Factor'!$D$11),IF(AND(D7&gt;7,D7&lt;=10,F7="Insurance"),40%*G7,
IF(OR(B7='Security Related Factor'!$D$10,B7='Security Related Factor'!$D$11),IF(AND(D7&gt;10,D7&lt;=15,F7="Insurance"),25%*G7,
IF(OR(B7='Security Related Factor'!$D$10,B7='Security Related Factor'!$D$11),IF(AND(D7&gt;15,F7="Insurance"),0%*G7))))))))))))))))))))))</f>
        <v>1</v>
      </c>
      <c r="I7" s="264" t="str">
        <f t="shared" si="2"/>
        <v/>
      </c>
      <c r="J7">
        <f t="shared" si="1"/>
        <v>0</v>
      </c>
      <c r="K7" s="82"/>
    </row>
    <row r="8" spans="1:11" ht="16" thickBot="1">
      <c r="A8" s="261">
        <v>5</v>
      </c>
      <c r="B8" s="262"/>
      <c r="C8" s="262"/>
      <c r="D8" s="267">
        <f t="shared" ca="1" si="0"/>
        <v>2026</v>
      </c>
      <c r="E8" s="264"/>
      <c r="F8" s="262"/>
      <c r="G8" s="268" t="b">
        <f>IF(OR(B8='Security Related Factor'!$D$10,B8='Security Related Factor'!$D$11),IF(AND(D8&gt;3,F8="Invoice"),0,1))</f>
        <v>0</v>
      </c>
      <c r="H8" s="266">
        <f>IF(AND(B8&lt;&gt;'Security Related Factor'!$D$10,B8&lt;&gt;'Security Related Factor'!$D$11,B8&lt;&gt;'Security Related Factor'!$D$15,B8&lt;&gt;'Security Related Factor'!$D$16,B8&lt;&gt;'Security Related Factor'!$D$19),100%,
IF(OR(B8='Security Related Factor'!$D$15,B8='Security Related Factor'!$D$16,B8='Security Related Factor'!$D$19),0%,
IF(OR(B8='Security Related Factor'!$D$10,B8='Security Related Factor'!$D$11),IF(AND(D8&lt;=1,F8="Invoice"),90%*G8,
IF(OR(B8='Security Related Factor'!$D$10,B8='Security Related Factor'!$D$11),IF(AND(D8&gt;1,D8&lt;=3,F8="Invoice"),80%*G8,
IF(OR(B8='Security Related Factor'!$D$10,B8='Security Related Factor'!$D$11),IF(AND(D8&gt;4,F8="Invoice"),0%*G8,
IF(OR(B8='Security Related Factor'!$D$10,B8='Security Related Factor'!$D$11),IF(AND(D8&lt;=1,F8="Insurance"),80%*G8,
IF(OR(B8='Security Related Factor'!$D$10,B8='Security Related Factor'!$D$11),IF(AND(D8&gt;1,D8&lt;=3,F8="Insurance"),70%*G8,
IF(OR(B8='Security Related Factor'!$D$10,B8='Security Related Factor'!$D$11),IF(AND(D8&gt;3,D8&lt;=5,F8="Insurance"),60%*G8,
IF(OR(B8='Security Related Factor'!$D$10,B8='Security Related Factor'!$D$11),IF(AND(D8&gt;5,D8&lt;=7,F8="Insurance"),50%*G8,
IF(OR(B8='Security Related Factor'!$D$10,B8='Security Related Factor'!$D$11),IF(AND(D8&gt;7,D8&lt;=10,F8="Insurance"),40%*G8,
IF(OR(B8='Security Related Factor'!$D$10,B8='Security Related Factor'!$D$11),IF(AND(D8&gt;10,D8&lt;=15,F8="Insurance"),25%*G8,
IF(OR(B8='Security Related Factor'!$D$10,B8='Security Related Factor'!$D$11),IF(AND(D8&gt;15,F8="Insurance"),0%*G8))))))))))))))))))))))</f>
        <v>1</v>
      </c>
      <c r="I8" s="264" t="str">
        <f t="shared" si="2"/>
        <v/>
      </c>
      <c r="J8">
        <f t="shared" si="1"/>
        <v>0</v>
      </c>
      <c r="K8" s="82"/>
    </row>
    <row r="9" spans="1:11" ht="16" thickBot="1">
      <c r="A9" s="261">
        <v>6</v>
      </c>
      <c r="B9" s="262"/>
      <c r="C9" s="262"/>
      <c r="D9" s="267">
        <f t="shared" ca="1" si="0"/>
        <v>2026</v>
      </c>
      <c r="E9" s="264"/>
      <c r="F9" s="262"/>
      <c r="G9" s="268" t="b">
        <f>IF(OR(B9='Security Related Factor'!$D$10,B9='Security Related Factor'!$D$11),IF(AND(D9&gt;3,F9="Invoice"),0,1))</f>
        <v>0</v>
      </c>
      <c r="H9" s="266">
        <f>IF(AND(B9&lt;&gt;'Security Related Factor'!$D$10,B9&lt;&gt;'Security Related Factor'!$D$11,B9&lt;&gt;'Security Related Factor'!$D$15,B9&lt;&gt;'Security Related Factor'!$D$16,B9&lt;&gt;'Security Related Factor'!$D$19),100%,
IF(OR(B9='Security Related Factor'!$D$15,B9='Security Related Factor'!$D$16,B9='Security Related Factor'!$D$19),0%,
IF(OR(B9='Security Related Factor'!$D$10,B9='Security Related Factor'!$D$11),IF(AND(D9&lt;=1,F9="Invoice"),90%*G9,
IF(OR(B9='Security Related Factor'!$D$10,B9='Security Related Factor'!$D$11),IF(AND(D9&gt;1,D9&lt;=3,F9="Invoice"),80%*G9,
IF(OR(B9='Security Related Factor'!$D$10,B9='Security Related Factor'!$D$11),IF(AND(D9&gt;4,F9="Invoice"),0%*G9,
IF(OR(B9='Security Related Factor'!$D$10,B9='Security Related Factor'!$D$11),IF(AND(D9&lt;=1,F9="Insurance"),80%*G9,
IF(OR(B9='Security Related Factor'!$D$10,B9='Security Related Factor'!$D$11),IF(AND(D9&gt;1,D9&lt;=3,F9="Insurance"),70%*G9,
IF(OR(B9='Security Related Factor'!$D$10,B9='Security Related Factor'!$D$11),IF(AND(D9&gt;3,D9&lt;=5,F9="Insurance"),60%*G9,
IF(OR(B9='Security Related Factor'!$D$10,B9='Security Related Factor'!$D$11),IF(AND(D9&gt;5,D9&lt;=7,F9="Insurance"),50%*G9,
IF(OR(B9='Security Related Factor'!$D$10,B9='Security Related Factor'!$D$11),IF(AND(D9&gt;7,D9&lt;=10,F9="Insurance"),40%*G9,
IF(OR(B9='Security Related Factor'!$D$10,B9='Security Related Factor'!$D$11),IF(AND(D9&gt;10,D9&lt;=15,F9="Insurance"),25%*G9,
IF(OR(B9='Security Related Factor'!$D$10,B9='Security Related Factor'!$D$11),IF(AND(D9&gt;15,F9="Insurance"),0%*G9))))))))))))))))))))))</f>
        <v>1</v>
      </c>
      <c r="I9" s="264" t="str">
        <f t="shared" si="2"/>
        <v/>
      </c>
      <c r="J9">
        <f t="shared" si="1"/>
        <v>0</v>
      </c>
      <c r="K9" s="82"/>
    </row>
    <row r="10" spans="1:11" ht="16" thickBot="1">
      <c r="A10" s="261">
        <v>7</v>
      </c>
      <c r="B10" s="262"/>
      <c r="C10" s="262"/>
      <c r="D10" s="267">
        <f t="shared" ca="1" si="0"/>
        <v>2026</v>
      </c>
      <c r="E10" s="264"/>
      <c r="F10" s="262"/>
      <c r="G10" s="268" t="b">
        <f>IF(OR(B10='Security Related Factor'!$D$10,B10='Security Related Factor'!$D$11),IF(AND(D10&gt;3,F10="Invoice"),0,1))</f>
        <v>0</v>
      </c>
      <c r="H10" s="266">
        <f>IF(AND(B10&lt;&gt;'Security Related Factor'!$D$10,B10&lt;&gt;'Security Related Factor'!$D$11,B10&lt;&gt;'Security Related Factor'!$D$15,B10&lt;&gt;'Security Related Factor'!$D$16,B10&lt;&gt;'Security Related Factor'!$D$19),100%,
IF(OR(B10='Security Related Factor'!$D$15,B10='Security Related Factor'!$D$16,B10='Security Related Factor'!$D$19),0%,
IF(OR(B10='Security Related Factor'!$D$10,B10='Security Related Factor'!$D$11),IF(AND(D10&lt;=1,F10="Invoice"),90%*G10,
IF(OR(B10='Security Related Factor'!$D$10,B10='Security Related Factor'!$D$11),IF(AND(D10&gt;1,D10&lt;=3,F10="Invoice"),80%*G10,
IF(OR(B10='Security Related Factor'!$D$10,B10='Security Related Factor'!$D$11),IF(AND(D10&gt;4,F10="Invoice"),0%*G10,
IF(OR(B10='Security Related Factor'!$D$10,B10='Security Related Factor'!$D$11),IF(AND(D10&lt;=1,F10="Insurance"),80%*G10,
IF(OR(B10='Security Related Factor'!$D$10,B10='Security Related Factor'!$D$11),IF(AND(D10&gt;1,D10&lt;=3,F10="Insurance"),70%*G10,
IF(OR(B10='Security Related Factor'!$D$10,B10='Security Related Factor'!$D$11),IF(AND(D10&gt;3,D10&lt;=5,F10="Insurance"),60%*G10,
IF(OR(B10='Security Related Factor'!$D$10,B10='Security Related Factor'!$D$11),IF(AND(D10&gt;5,D10&lt;=7,F10="Insurance"),50%*G10,
IF(OR(B10='Security Related Factor'!$D$10,B10='Security Related Factor'!$D$11),IF(AND(D10&gt;7,D10&lt;=10,F10="Insurance"),40%*G10,
IF(OR(B10='Security Related Factor'!$D$10,B10='Security Related Factor'!$D$11),IF(AND(D10&gt;10,D10&lt;=15,F10="Insurance"),25%*G10,
IF(OR(B10='Security Related Factor'!$D$10,B10='Security Related Factor'!$D$11),IF(AND(D10&gt;15,F10="Insurance"),0%*G10))))))))))))))))))))))</f>
        <v>1</v>
      </c>
      <c r="I10" s="264" t="str">
        <f t="shared" si="2"/>
        <v/>
      </c>
      <c r="J10">
        <f t="shared" si="1"/>
        <v>0</v>
      </c>
      <c r="K10" s="82"/>
    </row>
    <row r="11" spans="1:11" ht="16" thickBot="1">
      <c r="A11" s="261">
        <v>8</v>
      </c>
      <c r="B11" s="262"/>
      <c r="C11" s="262"/>
      <c r="D11" s="267">
        <f t="shared" ca="1" si="0"/>
        <v>2026</v>
      </c>
      <c r="E11" s="264"/>
      <c r="F11" s="262"/>
      <c r="G11" s="268" t="b">
        <f>IF(OR(B11='Security Related Factor'!$D$10,B11='Security Related Factor'!$D$11),IF(AND(D11&gt;3,F11="Invoice"),0,1))</f>
        <v>0</v>
      </c>
      <c r="H11" s="266">
        <f>IF(AND(B11&lt;&gt;'Security Related Factor'!$D$10,B11&lt;&gt;'Security Related Factor'!$D$11,B11&lt;&gt;'Security Related Factor'!$D$15,B11&lt;&gt;'Security Related Factor'!$D$16,B11&lt;&gt;'Security Related Factor'!$D$19),100%,
IF(OR(B11='Security Related Factor'!$D$15,B11='Security Related Factor'!$D$16,B11='Security Related Factor'!$D$19),0%,
IF(OR(B11='Security Related Factor'!$D$10,B11='Security Related Factor'!$D$11),IF(AND(D11&lt;=1,F11="Invoice"),90%*G11,
IF(OR(B11='Security Related Factor'!$D$10,B11='Security Related Factor'!$D$11),IF(AND(D11&gt;1,D11&lt;=3,F11="Invoice"),80%*G11,
IF(OR(B11='Security Related Factor'!$D$10,B11='Security Related Factor'!$D$11),IF(AND(D11&gt;4,F11="Invoice"),0%*G11,
IF(OR(B11='Security Related Factor'!$D$10,B11='Security Related Factor'!$D$11),IF(AND(D11&lt;=1,F11="Insurance"),80%*G11,
IF(OR(B11='Security Related Factor'!$D$10,B11='Security Related Factor'!$D$11),IF(AND(D11&gt;1,D11&lt;=3,F11="Insurance"),70%*G11,
IF(OR(B11='Security Related Factor'!$D$10,B11='Security Related Factor'!$D$11),IF(AND(D11&gt;3,D11&lt;=5,F11="Insurance"),60%*G11,
IF(OR(B11='Security Related Factor'!$D$10,B11='Security Related Factor'!$D$11),IF(AND(D11&gt;5,D11&lt;=7,F11="Insurance"),50%*G11,
IF(OR(B11='Security Related Factor'!$D$10,B11='Security Related Factor'!$D$11),IF(AND(D11&gt;7,D11&lt;=10,F11="Insurance"),40%*G11,
IF(OR(B11='Security Related Factor'!$D$10,B11='Security Related Factor'!$D$11),IF(AND(D11&gt;10,D11&lt;=15,F11="Insurance"),25%*G11,
IF(OR(B11='Security Related Factor'!$D$10,B11='Security Related Factor'!$D$11),IF(AND(D11&gt;15,F11="Insurance"),0%*G11))))))))))))))))))))))</f>
        <v>1</v>
      </c>
      <c r="I11" s="264" t="str">
        <f t="shared" si="2"/>
        <v/>
      </c>
      <c r="J11">
        <f t="shared" si="1"/>
        <v>0</v>
      </c>
      <c r="K11" s="82"/>
    </row>
    <row r="12" spans="1:11" ht="16" thickBot="1">
      <c r="A12" s="261">
        <v>9</v>
      </c>
      <c r="B12" s="262"/>
      <c r="C12" s="262"/>
      <c r="D12" s="267">
        <f t="shared" ca="1" si="0"/>
        <v>2026</v>
      </c>
      <c r="E12" s="264"/>
      <c r="F12" s="262"/>
      <c r="G12" s="268" t="b">
        <f>IF(OR(B12='Security Related Factor'!$D$10,B12='Security Related Factor'!$D$11),IF(AND(D12&gt;3,F12="Invoice"),0,1))</f>
        <v>0</v>
      </c>
      <c r="H12" s="266">
        <f>IF(AND(B12&lt;&gt;'Security Related Factor'!$D$10,B12&lt;&gt;'Security Related Factor'!$D$11,B12&lt;&gt;'Security Related Factor'!$D$15,B12&lt;&gt;'Security Related Factor'!$D$16,B12&lt;&gt;'Security Related Factor'!$D$19),100%,
IF(OR(B12='Security Related Factor'!$D$15,B12='Security Related Factor'!$D$16,B12='Security Related Factor'!$D$19),0%,
IF(OR(B12='Security Related Factor'!$D$10,B12='Security Related Factor'!$D$11),IF(AND(D12&lt;=1,F12="Invoice"),90%*G12,
IF(OR(B12='Security Related Factor'!$D$10,B12='Security Related Factor'!$D$11),IF(AND(D12&gt;1,D12&lt;=3,F12="Invoice"),80%*G12,
IF(OR(B12='Security Related Factor'!$D$10,B12='Security Related Factor'!$D$11),IF(AND(D12&gt;4,F12="Invoice"),0%*G12,
IF(OR(B12='Security Related Factor'!$D$10,B12='Security Related Factor'!$D$11),IF(AND(D12&lt;=1,F12="Insurance"),80%*G12,
IF(OR(B12='Security Related Factor'!$D$10,B12='Security Related Factor'!$D$11),IF(AND(D12&gt;1,D12&lt;=3,F12="Insurance"),70%*G12,
IF(OR(B12='Security Related Factor'!$D$10,B12='Security Related Factor'!$D$11),IF(AND(D12&gt;3,D12&lt;=5,F12="Insurance"),60%*G12,
IF(OR(B12='Security Related Factor'!$D$10,B12='Security Related Factor'!$D$11),IF(AND(D12&gt;5,D12&lt;=7,F12="Insurance"),50%*G12,
IF(OR(B12='Security Related Factor'!$D$10,B12='Security Related Factor'!$D$11),IF(AND(D12&gt;7,D12&lt;=10,F12="Insurance"),40%*G12,
IF(OR(B12='Security Related Factor'!$D$10,B12='Security Related Factor'!$D$11),IF(AND(D12&gt;10,D12&lt;=15,F12="Insurance"),25%*G12,
IF(OR(B12='Security Related Factor'!$D$10,B12='Security Related Factor'!$D$11),IF(AND(D12&gt;15,F12="Insurance"),0%*G12))))))))))))))))))))))</f>
        <v>1</v>
      </c>
      <c r="I12" s="264" t="str">
        <f t="shared" si="2"/>
        <v/>
      </c>
      <c r="J12">
        <f t="shared" si="1"/>
        <v>0</v>
      </c>
      <c r="K12" s="82"/>
    </row>
    <row r="13" spans="1:11" ht="16" thickBot="1">
      <c r="A13" s="261">
        <v>10</v>
      </c>
      <c r="B13" s="262"/>
      <c r="C13" s="262"/>
      <c r="D13" s="267">
        <f t="shared" ca="1" si="0"/>
        <v>2026</v>
      </c>
      <c r="E13" s="264"/>
      <c r="F13" s="262"/>
      <c r="G13" s="268" t="b">
        <f>IF(OR(B13='Security Related Factor'!$D$10,B13='Security Related Factor'!$D$11),IF(AND(D13&gt;3,F13="Invoice"),0,1))</f>
        <v>0</v>
      </c>
      <c r="H13" s="266">
        <f>IF(AND(B13&lt;&gt;'Security Related Factor'!$D$10,B13&lt;&gt;'Security Related Factor'!$D$11,B13&lt;&gt;'Security Related Factor'!$D$15,B13&lt;&gt;'Security Related Factor'!$D$16,B13&lt;&gt;'Security Related Factor'!$D$19),100%,
IF(OR(B13='Security Related Factor'!$D$15,B13='Security Related Factor'!$D$16,B13='Security Related Factor'!$D$19),0%,
IF(OR(B13='Security Related Factor'!$D$10,B13='Security Related Factor'!$D$11),IF(AND(D13&lt;=1,F13="Invoice"),90%*G13,
IF(OR(B13='Security Related Factor'!$D$10,B13='Security Related Factor'!$D$11),IF(AND(D13&gt;1,D13&lt;=3,F13="Invoice"),80%*G13,
IF(OR(B13='Security Related Factor'!$D$10,B13='Security Related Factor'!$D$11),IF(AND(D13&gt;4,F13="Invoice"),0%*G13,
IF(OR(B13='Security Related Factor'!$D$10,B13='Security Related Factor'!$D$11),IF(AND(D13&lt;=1,F13="Insurance"),80%*G13,
IF(OR(B13='Security Related Factor'!$D$10,B13='Security Related Factor'!$D$11),IF(AND(D13&gt;1,D13&lt;=3,F13="Insurance"),70%*G13,
IF(OR(B13='Security Related Factor'!$D$10,B13='Security Related Factor'!$D$11),IF(AND(D13&gt;3,D13&lt;=5,F13="Insurance"),60%*G13,
IF(OR(B13='Security Related Factor'!$D$10,B13='Security Related Factor'!$D$11),IF(AND(D13&gt;5,D13&lt;=7,F13="Insurance"),50%*G13,
IF(OR(B13='Security Related Factor'!$D$10,B13='Security Related Factor'!$D$11),IF(AND(D13&gt;7,D13&lt;=10,F13="Insurance"),40%*G13,
IF(OR(B13='Security Related Factor'!$D$10,B13='Security Related Factor'!$D$11),IF(AND(D13&gt;10,D13&lt;=15,F13="Insurance"),25%*G13,
IF(OR(B13='Security Related Factor'!$D$10,B13='Security Related Factor'!$D$11),IF(AND(D13&gt;15,F13="Insurance"),0%*G13))))))))))))))))))))))</f>
        <v>1</v>
      </c>
      <c r="I13" s="264" t="str">
        <f t="shared" si="2"/>
        <v/>
      </c>
      <c r="J13">
        <f t="shared" si="1"/>
        <v>0</v>
      </c>
      <c r="K13" s="82"/>
    </row>
    <row r="14" spans="1:11" ht="16" thickBot="1">
      <c r="A14" s="261">
        <v>11</v>
      </c>
      <c r="B14" s="262"/>
      <c r="C14" s="262"/>
      <c r="D14" s="267">
        <f t="shared" ca="1" si="0"/>
        <v>2026</v>
      </c>
      <c r="E14" s="264"/>
      <c r="F14" s="262"/>
      <c r="G14" s="268" t="b">
        <f>IF(OR(B14='Security Related Factor'!$D$10,B14='Security Related Factor'!$D$11),IF(AND(D14&gt;3,F14="Invoice"),0,1))</f>
        <v>0</v>
      </c>
      <c r="H14" s="266">
        <f>IF(AND(B14&lt;&gt;'Security Related Factor'!$D$10,B14&lt;&gt;'Security Related Factor'!$D$11,B14&lt;&gt;'Security Related Factor'!$D$15,B14&lt;&gt;'Security Related Factor'!$D$16,B14&lt;&gt;'Security Related Factor'!$D$19),100%,
IF(OR(B14='Security Related Factor'!$D$15,B14='Security Related Factor'!$D$16,B14='Security Related Factor'!$D$19),0%,
IF(OR(B14='Security Related Factor'!$D$10,B14='Security Related Factor'!$D$11),IF(AND(D14&lt;=1,F14="Invoice"),90%*G14,
IF(OR(B14='Security Related Factor'!$D$10,B14='Security Related Factor'!$D$11),IF(AND(D14&gt;1,D14&lt;=3,F14="Invoice"),80%*G14,
IF(OR(B14='Security Related Factor'!$D$10,B14='Security Related Factor'!$D$11),IF(AND(D14&gt;4,F14="Invoice"),0%*G14,
IF(OR(B14='Security Related Factor'!$D$10,B14='Security Related Factor'!$D$11),IF(AND(D14&lt;=1,F14="Insurance"),80%*G14,
IF(OR(B14='Security Related Factor'!$D$10,B14='Security Related Factor'!$D$11),IF(AND(D14&gt;1,D14&lt;=3,F14="Insurance"),70%*G14,
IF(OR(B14='Security Related Factor'!$D$10,B14='Security Related Factor'!$D$11),IF(AND(D14&gt;3,D14&lt;=5,F14="Insurance"),60%*G14,
IF(OR(B14='Security Related Factor'!$D$10,B14='Security Related Factor'!$D$11),IF(AND(D14&gt;5,D14&lt;=7,F14="Insurance"),50%*G14,
IF(OR(B14='Security Related Factor'!$D$10,B14='Security Related Factor'!$D$11),IF(AND(D14&gt;7,D14&lt;=10,F14="Insurance"),40%*G14,
IF(OR(B14='Security Related Factor'!$D$10,B14='Security Related Factor'!$D$11),IF(AND(D14&gt;10,D14&lt;=15,F14="Insurance"),25%*G14,
IF(OR(B14='Security Related Factor'!$D$10,B14='Security Related Factor'!$D$11),IF(AND(D14&gt;15,F14="Insurance"),0%*G14))))))))))))))))))))))</f>
        <v>1</v>
      </c>
      <c r="I14" s="264" t="str">
        <f t="shared" si="2"/>
        <v/>
      </c>
      <c r="J14">
        <f t="shared" si="1"/>
        <v>0</v>
      </c>
      <c r="K14" s="82"/>
    </row>
    <row r="15" spans="1:11" ht="16" thickBot="1">
      <c r="A15" s="261">
        <v>12</v>
      </c>
      <c r="B15" s="262"/>
      <c r="C15" s="262"/>
      <c r="D15" s="267">
        <f t="shared" ca="1" si="0"/>
        <v>2026</v>
      </c>
      <c r="E15" s="264"/>
      <c r="F15" s="262"/>
      <c r="G15" s="268" t="b">
        <f>IF(OR(B15='Security Related Factor'!$D$10,B15='Security Related Factor'!$D$11),IF(AND(D15&gt;3,F15="Invoice"),0,1))</f>
        <v>0</v>
      </c>
      <c r="H15" s="266">
        <f>IF(AND(B15&lt;&gt;'Security Related Factor'!$D$10,B15&lt;&gt;'Security Related Factor'!$D$11,B15&lt;&gt;'Security Related Factor'!$D$15,B15&lt;&gt;'Security Related Factor'!$D$16,B15&lt;&gt;'Security Related Factor'!$D$19),100%,
IF(OR(B15='Security Related Factor'!$D$15,B15='Security Related Factor'!$D$16,B15='Security Related Factor'!$D$19),0%,
IF(OR(B15='Security Related Factor'!$D$10,B15='Security Related Factor'!$D$11),IF(AND(D15&lt;=1,F15="Invoice"),90%*G15,
IF(OR(B15='Security Related Factor'!$D$10,B15='Security Related Factor'!$D$11),IF(AND(D15&gt;1,D15&lt;=3,F15="Invoice"),80%*G15,
IF(OR(B15='Security Related Factor'!$D$10,B15='Security Related Factor'!$D$11),IF(AND(D15&gt;4,F15="Invoice"),0%*G15,
IF(OR(B15='Security Related Factor'!$D$10,B15='Security Related Factor'!$D$11),IF(AND(D15&lt;=1,F15="Insurance"),80%*G15,
IF(OR(B15='Security Related Factor'!$D$10,B15='Security Related Factor'!$D$11),IF(AND(D15&gt;1,D15&lt;=3,F15="Insurance"),70%*G15,
IF(OR(B15='Security Related Factor'!$D$10,B15='Security Related Factor'!$D$11),IF(AND(D15&gt;3,D15&lt;=5,F15="Insurance"),60%*G15,
IF(OR(B15='Security Related Factor'!$D$10,B15='Security Related Factor'!$D$11),IF(AND(D15&gt;5,D15&lt;=7,F15="Insurance"),50%*G15,
IF(OR(B15='Security Related Factor'!$D$10,B15='Security Related Factor'!$D$11),IF(AND(D15&gt;7,D15&lt;=10,F15="Insurance"),40%*G15,
IF(OR(B15='Security Related Factor'!$D$10,B15='Security Related Factor'!$D$11),IF(AND(D15&gt;10,D15&lt;=15,F15="Insurance"),25%*G15,
IF(OR(B15='Security Related Factor'!$D$10,B15='Security Related Factor'!$D$11),IF(AND(D15&gt;15,F15="Insurance"),0%*G15))))))))))))))))))))))</f>
        <v>1</v>
      </c>
      <c r="I15" s="264" t="str">
        <f t="shared" si="2"/>
        <v/>
      </c>
      <c r="J15">
        <f t="shared" si="1"/>
        <v>0</v>
      </c>
      <c r="K15" s="82"/>
    </row>
    <row r="16" spans="1:11" ht="16" thickBot="1">
      <c r="A16" s="261">
        <v>13</v>
      </c>
      <c r="B16" s="262"/>
      <c r="C16" s="262"/>
      <c r="D16" s="267">
        <f t="shared" ca="1" si="0"/>
        <v>2026</v>
      </c>
      <c r="E16" s="264"/>
      <c r="F16" s="262"/>
      <c r="G16" s="268" t="b">
        <f>IF(OR(B16='Security Related Factor'!$D$10,B16='Security Related Factor'!$D$11),IF(AND(D16&gt;3,F16="Invoice"),0,1))</f>
        <v>0</v>
      </c>
      <c r="H16" s="266">
        <f>IF(AND(B16&lt;&gt;'Security Related Factor'!$D$10,B16&lt;&gt;'Security Related Factor'!$D$11,B16&lt;&gt;'Security Related Factor'!$D$15,B16&lt;&gt;'Security Related Factor'!$D$16,B16&lt;&gt;'Security Related Factor'!$D$19),100%,
IF(OR(B16='Security Related Factor'!$D$15,B16='Security Related Factor'!$D$16,B16='Security Related Factor'!$D$19),0%,
IF(OR(B16='Security Related Factor'!$D$10,B16='Security Related Factor'!$D$11),IF(AND(D16&lt;=1,F16="Invoice"),90%*G16,
IF(OR(B16='Security Related Factor'!$D$10,B16='Security Related Factor'!$D$11),IF(AND(D16&gt;1,D16&lt;=3,F16="Invoice"),80%*G16,
IF(OR(B16='Security Related Factor'!$D$10,B16='Security Related Factor'!$D$11),IF(AND(D16&gt;4,F16="Invoice"),0%*G16,
IF(OR(B16='Security Related Factor'!$D$10,B16='Security Related Factor'!$D$11),IF(AND(D16&lt;=1,F16="Insurance"),80%*G16,
IF(OR(B16='Security Related Factor'!$D$10,B16='Security Related Factor'!$D$11),IF(AND(D16&gt;1,D16&lt;=3,F16="Insurance"),70%*G16,
IF(OR(B16='Security Related Factor'!$D$10,B16='Security Related Factor'!$D$11),IF(AND(D16&gt;3,D16&lt;=5,F16="Insurance"),60%*G16,
IF(OR(B16='Security Related Factor'!$D$10,B16='Security Related Factor'!$D$11),IF(AND(D16&gt;5,D16&lt;=7,F16="Insurance"),50%*G16,
IF(OR(B16='Security Related Factor'!$D$10,B16='Security Related Factor'!$D$11),IF(AND(D16&gt;7,D16&lt;=10,F16="Insurance"),40%*G16,
IF(OR(B16='Security Related Factor'!$D$10,B16='Security Related Factor'!$D$11),IF(AND(D16&gt;10,D16&lt;=15,F16="Insurance"),25%*G16,
IF(OR(B16='Security Related Factor'!$D$10,B16='Security Related Factor'!$D$11),IF(AND(D16&gt;15,F16="Insurance"),0%*G16))))))))))))))))))))))</f>
        <v>1</v>
      </c>
      <c r="I16" s="264" t="str">
        <f t="shared" si="2"/>
        <v/>
      </c>
      <c r="J16">
        <f t="shared" si="1"/>
        <v>0</v>
      </c>
      <c r="K16" s="82"/>
    </row>
    <row r="17" spans="1:11" ht="16" thickBot="1">
      <c r="A17" s="261">
        <v>14</v>
      </c>
      <c r="B17" s="262"/>
      <c r="C17" s="262"/>
      <c r="D17" s="267">
        <f t="shared" ca="1" si="0"/>
        <v>2026</v>
      </c>
      <c r="E17" s="264"/>
      <c r="F17" s="262"/>
      <c r="G17" s="268" t="b">
        <f>IF(OR(B17='Security Related Factor'!$D$10,B17='Security Related Factor'!$D$11),IF(AND(D17&gt;3,F17="Invoice"),0,1))</f>
        <v>0</v>
      </c>
      <c r="H17" s="266">
        <f>IF(AND(B17&lt;&gt;'Security Related Factor'!$D$10,B17&lt;&gt;'Security Related Factor'!$D$11,B17&lt;&gt;'Security Related Factor'!$D$15,B17&lt;&gt;'Security Related Factor'!$D$16,B17&lt;&gt;'Security Related Factor'!$D$19),100%,
IF(OR(B17='Security Related Factor'!$D$15,B17='Security Related Factor'!$D$16,B17='Security Related Factor'!$D$19),0%,
IF(OR(B17='Security Related Factor'!$D$10,B17='Security Related Factor'!$D$11),IF(AND(D17&lt;=1,F17="Invoice"),90%*G17,
IF(OR(B17='Security Related Factor'!$D$10,B17='Security Related Factor'!$D$11),IF(AND(D17&gt;1,D17&lt;=3,F17="Invoice"),80%*G17,
IF(OR(B17='Security Related Factor'!$D$10,B17='Security Related Factor'!$D$11),IF(AND(D17&gt;4,F17="Invoice"),0%*G17,
IF(OR(B17='Security Related Factor'!$D$10,B17='Security Related Factor'!$D$11),IF(AND(D17&lt;=1,F17="Insurance"),80%*G17,
IF(OR(B17='Security Related Factor'!$D$10,B17='Security Related Factor'!$D$11),IF(AND(D17&gt;1,D17&lt;=3,F17="Insurance"),70%*G17,
IF(OR(B17='Security Related Factor'!$D$10,B17='Security Related Factor'!$D$11),IF(AND(D17&gt;3,D17&lt;=5,F17="Insurance"),60%*G17,
IF(OR(B17='Security Related Factor'!$D$10,B17='Security Related Factor'!$D$11),IF(AND(D17&gt;5,D17&lt;=7,F17="Insurance"),50%*G17,
IF(OR(B17='Security Related Factor'!$D$10,B17='Security Related Factor'!$D$11),IF(AND(D17&gt;7,D17&lt;=10,F17="Insurance"),40%*G17,
IF(OR(B17='Security Related Factor'!$D$10,B17='Security Related Factor'!$D$11),IF(AND(D17&gt;10,D17&lt;=15,F17="Insurance"),25%*G17,
IF(OR(B17='Security Related Factor'!$D$10,B17='Security Related Factor'!$D$11),IF(AND(D17&gt;15,F17="Insurance"),0%*G17))))))))))))))))))))))</f>
        <v>1</v>
      </c>
      <c r="I17" s="264" t="str">
        <f t="shared" si="2"/>
        <v/>
      </c>
      <c r="J17">
        <f t="shared" si="1"/>
        <v>0</v>
      </c>
      <c r="K17" s="82"/>
    </row>
    <row r="18" spans="1:11" ht="16" thickBot="1">
      <c r="A18" s="261">
        <v>15</v>
      </c>
      <c r="B18" s="262"/>
      <c r="C18" s="262"/>
      <c r="D18" s="267">
        <f t="shared" ca="1" si="0"/>
        <v>2026</v>
      </c>
      <c r="E18" s="264"/>
      <c r="F18" s="262"/>
      <c r="G18" s="268" t="b">
        <f>IF(OR(B18='Security Related Factor'!$D$10,B18='Security Related Factor'!$D$11),IF(AND(D18&gt;3,F18="Invoice"),0,1))</f>
        <v>0</v>
      </c>
      <c r="H18" s="266">
        <f>IF(AND(B18&lt;&gt;'Security Related Factor'!$D$10,B18&lt;&gt;'Security Related Factor'!$D$11,B18&lt;&gt;'Security Related Factor'!$D$15,B18&lt;&gt;'Security Related Factor'!$D$16,B18&lt;&gt;'Security Related Factor'!$D$19),100%,
IF(OR(B18='Security Related Factor'!$D$15,B18='Security Related Factor'!$D$16,B18='Security Related Factor'!$D$19),0%,
IF(OR(B18='Security Related Factor'!$D$10,B18='Security Related Factor'!$D$11),IF(AND(D18&lt;=1,F18="Invoice"),90%*G18,
IF(OR(B18='Security Related Factor'!$D$10,B18='Security Related Factor'!$D$11),IF(AND(D18&gt;1,D18&lt;=3,F18="Invoice"),80%*G18,
IF(OR(B18='Security Related Factor'!$D$10,B18='Security Related Factor'!$D$11),IF(AND(D18&gt;4,F18="Invoice"),0%*G18,
IF(OR(B18='Security Related Factor'!$D$10,B18='Security Related Factor'!$D$11),IF(AND(D18&lt;=1,F18="Insurance"),80%*G18,
IF(OR(B18='Security Related Factor'!$D$10,B18='Security Related Factor'!$D$11),IF(AND(D18&gt;1,D18&lt;=3,F18="Insurance"),70%*G18,
IF(OR(B18='Security Related Factor'!$D$10,B18='Security Related Factor'!$D$11),IF(AND(D18&gt;3,D18&lt;=5,F18="Insurance"),60%*G18,
IF(OR(B18='Security Related Factor'!$D$10,B18='Security Related Factor'!$D$11),IF(AND(D18&gt;5,D18&lt;=7,F18="Insurance"),50%*G18,
IF(OR(B18='Security Related Factor'!$D$10,B18='Security Related Factor'!$D$11),IF(AND(D18&gt;7,D18&lt;=10,F18="Insurance"),40%*G18,
IF(OR(B18='Security Related Factor'!$D$10,B18='Security Related Factor'!$D$11),IF(AND(D18&gt;10,D18&lt;=15,F18="Insurance"),25%*G18,
IF(OR(B18='Security Related Factor'!$D$10,B18='Security Related Factor'!$D$11),IF(AND(D18&gt;15,F18="Insurance"),0%*G18))))))))))))))))))))))</f>
        <v>1</v>
      </c>
      <c r="I18" s="264" t="str">
        <f t="shared" si="2"/>
        <v/>
      </c>
      <c r="J18">
        <f t="shared" si="1"/>
        <v>0</v>
      </c>
      <c r="K18" s="82"/>
    </row>
    <row r="19" spans="1:11" ht="16" thickBot="1">
      <c r="A19" s="261">
        <v>16</v>
      </c>
      <c r="B19" s="262"/>
      <c r="C19" s="262"/>
      <c r="D19" s="267">
        <f t="shared" ca="1" si="0"/>
        <v>2026</v>
      </c>
      <c r="E19" s="264"/>
      <c r="F19" s="262"/>
      <c r="G19" s="268" t="b">
        <f>IF(OR(B19='Security Related Factor'!$D$10,B19='Security Related Factor'!$D$11),IF(AND(D19&gt;3,F19="Invoice"),0,1))</f>
        <v>0</v>
      </c>
      <c r="H19" s="266">
        <f>IF(AND(B19&lt;&gt;'Security Related Factor'!$D$10,B19&lt;&gt;'Security Related Factor'!$D$11,B19&lt;&gt;'Security Related Factor'!$D$15,B19&lt;&gt;'Security Related Factor'!$D$16,B19&lt;&gt;'Security Related Factor'!$D$19),100%,
IF(OR(B19='Security Related Factor'!$D$15,B19='Security Related Factor'!$D$16,B19='Security Related Factor'!$D$19),0%,
IF(OR(B19='Security Related Factor'!$D$10,B19='Security Related Factor'!$D$11),IF(AND(D19&lt;=1,F19="Invoice"),90%*G19,
IF(OR(B19='Security Related Factor'!$D$10,B19='Security Related Factor'!$D$11),IF(AND(D19&gt;1,D19&lt;=3,F19="Invoice"),80%*G19,
IF(OR(B19='Security Related Factor'!$D$10,B19='Security Related Factor'!$D$11),IF(AND(D19&gt;4,F19="Invoice"),0%*G19,
IF(OR(B19='Security Related Factor'!$D$10,B19='Security Related Factor'!$D$11),IF(AND(D19&lt;=1,F19="Insurance"),80%*G19,
IF(OR(B19='Security Related Factor'!$D$10,B19='Security Related Factor'!$D$11),IF(AND(D19&gt;1,D19&lt;=3,F19="Insurance"),70%*G19,
IF(OR(B19='Security Related Factor'!$D$10,B19='Security Related Factor'!$D$11),IF(AND(D19&gt;3,D19&lt;=5,F19="Insurance"),60%*G19,
IF(OR(B19='Security Related Factor'!$D$10,B19='Security Related Factor'!$D$11),IF(AND(D19&gt;5,D19&lt;=7,F19="Insurance"),50%*G19,
IF(OR(B19='Security Related Factor'!$D$10,B19='Security Related Factor'!$D$11),IF(AND(D19&gt;7,D19&lt;=10,F19="Insurance"),40%*G19,
IF(OR(B19='Security Related Factor'!$D$10,B19='Security Related Factor'!$D$11),IF(AND(D19&gt;10,D19&lt;=15,F19="Insurance"),25%*G19,
IF(OR(B19='Security Related Factor'!$D$10,B19='Security Related Factor'!$D$11),IF(AND(D19&gt;15,F19="Insurance"),0%*G19))))))))))))))))))))))</f>
        <v>1</v>
      </c>
      <c r="I19" s="264" t="str">
        <f t="shared" si="2"/>
        <v/>
      </c>
      <c r="J19">
        <f t="shared" si="1"/>
        <v>0</v>
      </c>
      <c r="K19" s="82"/>
    </row>
    <row r="20" spans="1:11" ht="16" thickBot="1">
      <c r="A20" s="261">
        <v>17</v>
      </c>
      <c r="B20" s="262"/>
      <c r="C20" s="262"/>
      <c r="D20" s="267">
        <f t="shared" ca="1" si="0"/>
        <v>2026</v>
      </c>
      <c r="E20" s="264"/>
      <c r="F20" s="262"/>
      <c r="G20" s="268" t="b">
        <f>IF(OR(B20='Security Related Factor'!$D$10,B20='Security Related Factor'!$D$11),IF(AND(D20&gt;3,F20="Invoice"),0,1))</f>
        <v>0</v>
      </c>
      <c r="H20" s="266">
        <f>IF(AND(B20&lt;&gt;'Security Related Factor'!$D$10,B20&lt;&gt;'Security Related Factor'!$D$11,B20&lt;&gt;'Security Related Factor'!$D$15,B20&lt;&gt;'Security Related Factor'!$D$16,B20&lt;&gt;'Security Related Factor'!$D$19),100%,
IF(OR(B20='Security Related Factor'!$D$15,B20='Security Related Factor'!$D$16,B20='Security Related Factor'!$D$19),0%,
IF(OR(B20='Security Related Factor'!$D$10,B20='Security Related Factor'!$D$11),IF(AND(D20&lt;=1,F20="Invoice"),90%*G20,
IF(OR(B20='Security Related Factor'!$D$10,B20='Security Related Factor'!$D$11),IF(AND(D20&gt;1,D20&lt;=3,F20="Invoice"),80%*G20,
IF(OR(B20='Security Related Factor'!$D$10,B20='Security Related Factor'!$D$11),IF(AND(D20&gt;4,F20="Invoice"),0%*G20,
IF(OR(B20='Security Related Factor'!$D$10,B20='Security Related Factor'!$D$11),IF(AND(D20&lt;=1,F20="Insurance"),80%*G20,
IF(OR(B20='Security Related Factor'!$D$10,B20='Security Related Factor'!$D$11),IF(AND(D20&gt;1,D20&lt;=3,F20="Insurance"),70%*G20,
IF(OR(B20='Security Related Factor'!$D$10,B20='Security Related Factor'!$D$11),IF(AND(D20&gt;3,D20&lt;=5,F20="Insurance"),60%*G20,
IF(OR(B20='Security Related Factor'!$D$10,B20='Security Related Factor'!$D$11),IF(AND(D20&gt;5,D20&lt;=7,F20="Insurance"),50%*G20,
IF(OR(B20='Security Related Factor'!$D$10,B20='Security Related Factor'!$D$11),IF(AND(D20&gt;7,D20&lt;=10,F20="Insurance"),40%*G20,
IF(OR(B20='Security Related Factor'!$D$10,B20='Security Related Factor'!$D$11),IF(AND(D20&gt;10,D20&lt;=15,F20="Insurance"),25%*G20,
IF(OR(B20='Security Related Factor'!$D$10,B20='Security Related Factor'!$D$11),IF(AND(D20&gt;15,F20="Insurance"),0%*G20))))))))))))))))))))))</f>
        <v>1</v>
      </c>
      <c r="I20" s="264" t="str">
        <f t="shared" si="2"/>
        <v/>
      </c>
      <c r="J20">
        <f t="shared" si="1"/>
        <v>0</v>
      </c>
      <c r="K20" s="82"/>
    </row>
    <row r="21" spans="1:11" ht="16" thickBot="1">
      <c r="A21" s="261">
        <v>18</v>
      </c>
      <c r="B21" s="262"/>
      <c r="C21" s="262"/>
      <c r="D21" s="267">
        <f t="shared" ca="1" si="0"/>
        <v>2026</v>
      </c>
      <c r="E21" s="264"/>
      <c r="F21" s="262"/>
      <c r="G21" s="268" t="b">
        <f>IF(OR(B21='Security Related Factor'!$D$10,B21='Security Related Factor'!$D$11),IF(AND(D21&gt;3,F21="Invoice"),0,1))</f>
        <v>0</v>
      </c>
      <c r="H21" s="266">
        <f>IF(AND(B21&lt;&gt;'Security Related Factor'!$D$10,B21&lt;&gt;'Security Related Factor'!$D$11,B21&lt;&gt;'Security Related Factor'!$D$15,B21&lt;&gt;'Security Related Factor'!$D$16,B21&lt;&gt;'Security Related Factor'!$D$19),100%,
IF(OR(B21='Security Related Factor'!$D$15,B21='Security Related Factor'!$D$16,B21='Security Related Factor'!$D$19),0%,
IF(OR(B21='Security Related Factor'!$D$10,B21='Security Related Factor'!$D$11),IF(AND(D21&lt;=1,F21="Invoice"),90%*G21,
IF(OR(B21='Security Related Factor'!$D$10,B21='Security Related Factor'!$D$11),IF(AND(D21&gt;1,D21&lt;=3,F21="Invoice"),80%*G21,
IF(OR(B21='Security Related Factor'!$D$10,B21='Security Related Factor'!$D$11),IF(AND(D21&gt;4,F21="Invoice"),0%*G21,
IF(OR(B21='Security Related Factor'!$D$10,B21='Security Related Factor'!$D$11),IF(AND(D21&lt;=1,F21="Insurance"),80%*G21,
IF(OR(B21='Security Related Factor'!$D$10,B21='Security Related Factor'!$D$11),IF(AND(D21&gt;1,D21&lt;=3,F21="Insurance"),70%*G21,
IF(OR(B21='Security Related Factor'!$D$10,B21='Security Related Factor'!$D$11),IF(AND(D21&gt;3,D21&lt;=5,F21="Insurance"),60%*G21,
IF(OR(B21='Security Related Factor'!$D$10,B21='Security Related Factor'!$D$11),IF(AND(D21&gt;5,D21&lt;=7,F21="Insurance"),50%*G21,
IF(OR(B21='Security Related Factor'!$D$10,B21='Security Related Factor'!$D$11),IF(AND(D21&gt;7,D21&lt;=10,F21="Insurance"),40%*G21,
IF(OR(B21='Security Related Factor'!$D$10,B21='Security Related Factor'!$D$11),IF(AND(D21&gt;10,D21&lt;=15,F21="Insurance"),25%*G21,
IF(OR(B21='Security Related Factor'!$D$10,B21='Security Related Factor'!$D$11),IF(AND(D21&gt;15,F21="Insurance"),0%*G21))))))))))))))))))))))</f>
        <v>1</v>
      </c>
      <c r="I21" s="264" t="str">
        <f t="shared" si="2"/>
        <v/>
      </c>
      <c r="J21">
        <f t="shared" si="1"/>
        <v>0</v>
      </c>
      <c r="K21" s="82"/>
    </row>
    <row r="22" spans="1:11" ht="16" thickBot="1">
      <c r="A22" s="261">
        <v>19</v>
      </c>
      <c r="B22" s="262"/>
      <c r="C22" s="262"/>
      <c r="D22" s="267">
        <f t="shared" ca="1" si="0"/>
        <v>2026</v>
      </c>
      <c r="E22" s="264"/>
      <c r="F22" s="262"/>
      <c r="G22" s="268" t="b">
        <f>IF(OR(B22='Security Related Factor'!$D$10,B22='Security Related Factor'!$D$11),IF(AND(D22&gt;3,F22="Invoice"),0,1))</f>
        <v>0</v>
      </c>
      <c r="H22" s="266">
        <f>IF(AND(B22&lt;&gt;'Security Related Factor'!$D$10,B22&lt;&gt;'Security Related Factor'!$D$11,B22&lt;&gt;'Security Related Factor'!$D$15,B22&lt;&gt;'Security Related Factor'!$D$16,B22&lt;&gt;'Security Related Factor'!$D$19),100%,
IF(OR(B22='Security Related Factor'!$D$15,B22='Security Related Factor'!$D$16,B22='Security Related Factor'!$D$19),0%,
IF(OR(B22='Security Related Factor'!$D$10,B22='Security Related Factor'!$D$11),IF(AND(D22&lt;=1,F22="Invoice"),90%*G22,
IF(OR(B22='Security Related Factor'!$D$10,B22='Security Related Factor'!$D$11),IF(AND(D22&gt;1,D22&lt;=3,F22="Invoice"),80%*G22,
IF(OR(B22='Security Related Factor'!$D$10,B22='Security Related Factor'!$D$11),IF(AND(D22&gt;4,F22="Invoice"),0%*G22,
IF(OR(B22='Security Related Factor'!$D$10,B22='Security Related Factor'!$D$11),IF(AND(D22&lt;=1,F22="Insurance"),80%*G22,
IF(OR(B22='Security Related Factor'!$D$10,B22='Security Related Factor'!$D$11),IF(AND(D22&gt;1,D22&lt;=3,F22="Insurance"),70%*G22,
IF(OR(B22='Security Related Factor'!$D$10,B22='Security Related Factor'!$D$11),IF(AND(D22&gt;3,D22&lt;=5,F22="Insurance"),60%*G22,
IF(OR(B22='Security Related Factor'!$D$10,B22='Security Related Factor'!$D$11),IF(AND(D22&gt;5,D22&lt;=7,F22="Insurance"),50%*G22,
IF(OR(B22='Security Related Factor'!$D$10,B22='Security Related Factor'!$D$11),IF(AND(D22&gt;7,D22&lt;=10,F22="Insurance"),40%*G22,
IF(OR(B22='Security Related Factor'!$D$10,B22='Security Related Factor'!$D$11),IF(AND(D22&gt;10,D22&lt;=15,F22="Insurance"),25%*G22,
IF(OR(B22='Security Related Factor'!$D$10,B22='Security Related Factor'!$D$11),IF(AND(D22&gt;15,F22="Insurance"),0%*G22))))))))))))))))))))))</f>
        <v>1</v>
      </c>
      <c r="I22" s="264" t="str">
        <f t="shared" si="2"/>
        <v/>
      </c>
      <c r="J22">
        <f t="shared" si="1"/>
        <v>0</v>
      </c>
      <c r="K22" s="82"/>
    </row>
    <row r="23" spans="1:11" ht="16" thickBot="1">
      <c r="A23" s="261">
        <v>20</v>
      </c>
      <c r="B23" s="262"/>
      <c r="C23" s="262"/>
      <c r="D23" s="267">
        <f t="shared" ca="1" si="0"/>
        <v>2026</v>
      </c>
      <c r="E23" s="264"/>
      <c r="F23" s="262"/>
      <c r="G23" s="268" t="b">
        <f>IF(OR(B23='Security Related Factor'!$D$10,B23='Security Related Factor'!$D$11),IF(AND(D23&gt;3,F23="Invoice"),0,1))</f>
        <v>0</v>
      </c>
      <c r="H23" s="266">
        <f>IF(AND(B23&lt;&gt;'Security Related Factor'!$D$10,B23&lt;&gt;'Security Related Factor'!$D$11,B23&lt;&gt;'Security Related Factor'!$D$15,B23&lt;&gt;'Security Related Factor'!$D$16,B23&lt;&gt;'Security Related Factor'!$D$19),100%,
IF(OR(B23='Security Related Factor'!$D$15,B23='Security Related Factor'!$D$16,B23='Security Related Factor'!$D$19),0%,
IF(OR(B23='Security Related Factor'!$D$10,B23='Security Related Factor'!$D$11),IF(AND(D23&lt;=1,F23="Invoice"),90%*G23,
IF(OR(B23='Security Related Factor'!$D$10,B23='Security Related Factor'!$D$11),IF(AND(D23&gt;1,D23&lt;=3,F23="Invoice"),80%*G23,
IF(OR(B23='Security Related Factor'!$D$10,B23='Security Related Factor'!$D$11),IF(AND(D23&gt;4,F23="Invoice"),0%*G23,
IF(OR(B23='Security Related Factor'!$D$10,B23='Security Related Factor'!$D$11),IF(AND(D23&lt;=1,F23="Insurance"),80%*G23,
IF(OR(B23='Security Related Factor'!$D$10,B23='Security Related Factor'!$D$11),IF(AND(D23&gt;1,D23&lt;=3,F23="Insurance"),70%*G23,
IF(OR(B23='Security Related Factor'!$D$10,B23='Security Related Factor'!$D$11),IF(AND(D23&gt;3,D23&lt;=5,F23="Insurance"),60%*G23,
IF(OR(B23='Security Related Factor'!$D$10,B23='Security Related Factor'!$D$11),IF(AND(D23&gt;5,D23&lt;=7,F23="Insurance"),50%*G23,
IF(OR(B23='Security Related Factor'!$D$10,B23='Security Related Factor'!$D$11),IF(AND(D23&gt;7,D23&lt;=10,F23="Insurance"),40%*G23,
IF(OR(B23='Security Related Factor'!$D$10,B23='Security Related Factor'!$D$11),IF(AND(D23&gt;10,D23&lt;=15,F23="Insurance"),25%*G23,
IF(OR(B23='Security Related Factor'!$D$10,B23='Security Related Factor'!$D$11),IF(AND(D23&gt;15,F23="Insurance"),0%*G23))))))))))))))))))))))</f>
        <v>1</v>
      </c>
      <c r="I23" s="264" t="str">
        <f t="shared" si="2"/>
        <v/>
      </c>
      <c r="J23">
        <f t="shared" si="1"/>
        <v>0</v>
      </c>
      <c r="K23" s="82"/>
    </row>
    <row r="24" spans="1:11" ht="16" thickBot="1">
      <c r="A24" s="261">
        <v>21</v>
      </c>
      <c r="B24" s="262"/>
      <c r="C24" s="262"/>
      <c r="D24" s="267">
        <f t="shared" ca="1" si="0"/>
        <v>2026</v>
      </c>
      <c r="E24" s="264"/>
      <c r="F24" s="262"/>
      <c r="G24" s="268" t="b">
        <f>IF(OR(B24='Security Related Factor'!$D$10,B24='Security Related Factor'!$D$11),IF(AND(D24&gt;3,F24="Invoice"),0,1))</f>
        <v>0</v>
      </c>
      <c r="H24" s="266">
        <f>IF(AND(B24&lt;&gt;'Security Related Factor'!$D$10,B24&lt;&gt;'Security Related Factor'!$D$11,B24&lt;&gt;'Security Related Factor'!$D$15,B24&lt;&gt;'Security Related Factor'!$D$16,B24&lt;&gt;'Security Related Factor'!$D$19),100%,
IF(OR(B24='Security Related Factor'!$D$15,B24='Security Related Factor'!$D$16,B24='Security Related Factor'!$D$19),0%,
IF(OR(B24='Security Related Factor'!$D$10,B24='Security Related Factor'!$D$11),IF(AND(D24&lt;=1,F24="Invoice"),90%*G24,
IF(OR(B24='Security Related Factor'!$D$10,B24='Security Related Factor'!$D$11),IF(AND(D24&gt;1,D24&lt;=3,F24="Invoice"),80%*G24,
IF(OR(B24='Security Related Factor'!$D$10,B24='Security Related Factor'!$D$11),IF(AND(D24&gt;4,F24="Invoice"),0%*G24,
IF(OR(B24='Security Related Factor'!$D$10,B24='Security Related Factor'!$D$11),IF(AND(D24&lt;=1,F24="Insurance"),80%*G24,
IF(OR(B24='Security Related Factor'!$D$10,B24='Security Related Factor'!$D$11),IF(AND(D24&gt;1,D24&lt;=3,F24="Insurance"),70%*G24,
IF(OR(B24='Security Related Factor'!$D$10,B24='Security Related Factor'!$D$11),IF(AND(D24&gt;3,D24&lt;=5,F24="Insurance"),60%*G24,
IF(OR(B24='Security Related Factor'!$D$10,B24='Security Related Factor'!$D$11),IF(AND(D24&gt;5,D24&lt;=7,F24="Insurance"),50%*G24,
IF(OR(B24='Security Related Factor'!$D$10,B24='Security Related Factor'!$D$11),IF(AND(D24&gt;7,D24&lt;=10,F24="Insurance"),40%*G24,
IF(OR(B24='Security Related Factor'!$D$10,B24='Security Related Factor'!$D$11),IF(AND(D24&gt;10,D24&lt;=15,F24="Insurance"),25%*G24,
IF(OR(B24='Security Related Factor'!$D$10,B24='Security Related Factor'!$D$11),IF(AND(D24&gt;15,F24="Insurance"),0%*G24))))))))))))))))))))))</f>
        <v>1</v>
      </c>
      <c r="I24" s="264" t="str">
        <f t="shared" si="2"/>
        <v/>
      </c>
      <c r="J24">
        <f t="shared" si="1"/>
        <v>0</v>
      </c>
      <c r="K24" s="82"/>
    </row>
    <row r="25" spans="1:11" ht="16" thickBot="1">
      <c r="A25" s="261">
        <v>22</v>
      </c>
      <c r="B25" s="262"/>
      <c r="C25" s="262"/>
      <c r="D25" s="267">
        <f t="shared" ca="1" si="0"/>
        <v>2026</v>
      </c>
      <c r="E25" s="264"/>
      <c r="F25" s="262"/>
      <c r="G25" s="268" t="b">
        <f>IF(OR(B25='Security Related Factor'!$D$10,B25='Security Related Factor'!$D$11),IF(AND(D25&gt;3,F25="Invoice"),0,1))</f>
        <v>0</v>
      </c>
      <c r="H25" s="266">
        <f>IF(AND(B25&lt;&gt;'Security Related Factor'!$D$10,B25&lt;&gt;'Security Related Factor'!$D$11,B25&lt;&gt;'Security Related Factor'!$D$15,B25&lt;&gt;'Security Related Factor'!$D$16,B25&lt;&gt;'Security Related Factor'!$D$19),100%,
IF(OR(B25='Security Related Factor'!$D$15,B25='Security Related Factor'!$D$16,B25='Security Related Factor'!$D$19),0%,
IF(OR(B25='Security Related Factor'!$D$10,B25='Security Related Factor'!$D$11),IF(AND(D25&lt;=1,F25="Invoice"),90%*G25,
IF(OR(B25='Security Related Factor'!$D$10,B25='Security Related Factor'!$D$11),IF(AND(D25&gt;1,D25&lt;=3,F25="Invoice"),80%*G25,
IF(OR(B25='Security Related Factor'!$D$10,B25='Security Related Factor'!$D$11),IF(AND(D25&gt;4,F25="Invoice"),0%*G25,
IF(OR(B25='Security Related Factor'!$D$10,B25='Security Related Factor'!$D$11),IF(AND(D25&lt;=1,F25="Insurance"),80%*G25,
IF(OR(B25='Security Related Factor'!$D$10,B25='Security Related Factor'!$D$11),IF(AND(D25&gt;1,D25&lt;=3,F25="Insurance"),70%*G25,
IF(OR(B25='Security Related Factor'!$D$10,B25='Security Related Factor'!$D$11),IF(AND(D25&gt;3,D25&lt;=5,F25="Insurance"),60%*G25,
IF(OR(B25='Security Related Factor'!$D$10,B25='Security Related Factor'!$D$11),IF(AND(D25&gt;5,D25&lt;=7,F25="Insurance"),50%*G25,
IF(OR(B25='Security Related Factor'!$D$10,B25='Security Related Factor'!$D$11),IF(AND(D25&gt;7,D25&lt;=10,F25="Insurance"),40%*G25,
IF(OR(B25='Security Related Factor'!$D$10,B25='Security Related Factor'!$D$11),IF(AND(D25&gt;10,D25&lt;=15,F25="Insurance"),25%*G25,
IF(OR(B25='Security Related Factor'!$D$10,B25='Security Related Factor'!$D$11),IF(AND(D25&gt;15,F25="Insurance"),0%*G25))))))))))))))))))))))</f>
        <v>1</v>
      </c>
      <c r="I25" s="264" t="str">
        <f t="shared" si="2"/>
        <v/>
      </c>
      <c r="J25">
        <f t="shared" si="1"/>
        <v>0</v>
      </c>
      <c r="K25" s="82"/>
    </row>
    <row r="26" spans="1:11" ht="16" thickBot="1">
      <c r="A26" s="261">
        <v>23</v>
      </c>
      <c r="B26" s="262"/>
      <c r="C26" s="262"/>
      <c r="D26" s="267">
        <f t="shared" ca="1" si="0"/>
        <v>2026</v>
      </c>
      <c r="E26" s="264"/>
      <c r="F26" s="262"/>
      <c r="G26" s="268" t="b">
        <f>IF(OR(B26='Security Related Factor'!$D$10,B26='Security Related Factor'!$D$11),IF(AND(D26&gt;3,F26="Invoice"),0,1))</f>
        <v>0</v>
      </c>
      <c r="H26" s="266">
        <f>IF(AND(B26&lt;&gt;'Security Related Factor'!$D$10,B26&lt;&gt;'Security Related Factor'!$D$11,B26&lt;&gt;'Security Related Factor'!$D$15,B26&lt;&gt;'Security Related Factor'!$D$16,B26&lt;&gt;'Security Related Factor'!$D$19),100%,
IF(OR(B26='Security Related Factor'!$D$15,B26='Security Related Factor'!$D$16,B26='Security Related Factor'!$D$19),0%,
IF(OR(B26='Security Related Factor'!$D$10,B26='Security Related Factor'!$D$11),IF(AND(D26&lt;=1,F26="Invoice"),90%*G26,
IF(OR(B26='Security Related Factor'!$D$10,B26='Security Related Factor'!$D$11),IF(AND(D26&gt;1,D26&lt;=3,F26="Invoice"),80%*G26,
IF(OR(B26='Security Related Factor'!$D$10,B26='Security Related Factor'!$D$11),IF(AND(D26&gt;4,F26="Invoice"),0%*G26,
IF(OR(B26='Security Related Factor'!$D$10,B26='Security Related Factor'!$D$11),IF(AND(D26&lt;=1,F26="Insurance"),80%*G26,
IF(OR(B26='Security Related Factor'!$D$10,B26='Security Related Factor'!$D$11),IF(AND(D26&gt;1,D26&lt;=3,F26="Insurance"),70%*G26,
IF(OR(B26='Security Related Factor'!$D$10,B26='Security Related Factor'!$D$11),IF(AND(D26&gt;3,D26&lt;=5,F26="Insurance"),60%*G26,
IF(OR(B26='Security Related Factor'!$D$10,B26='Security Related Factor'!$D$11),IF(AND(D26&gt;5,D26&lt;=7,F26="Insurance"),50%*G26,
IF(OR(B26='Security Related Factor'!$D$10,B26='Security Related Factor'!$D$11),IF(AND(D26&gt;7,D26&lt;=10,F26="Insurance"),40%*G26,
IF(OR(B26='Security Related Factor'!$D$10,B26='Security Related Factor'!$D$11),IF(AND(D26&gt;10,D26&lt;=15,F26="Insurance"),25%*G26,
IF(OR(B26='Security Related Factor'!$D$10,B26='Security Related Factor'!$D$11),IF(AND(D26&gt;15,F26="Insurance"),0%*G26))))))))))))))))))))))</f>
        <v>1</v>
      </c>
      <c r="I26" s="264" t="str">
        <f t="shared" si="2"/>
        <v/>
      </c>
      <c r="J26">
        <f t="shared" si="1"/>
        <v>0</v>
      </c>
      <c r="K26" s="82"/>
    </row>
    <row r="27" spans="1:11" ht="16" thickBot="1">
      <c r="A27" s="261">
        <v>24</v>
      </c>
      <c r="B27" s="262"/>
      <c r="C27" s="262"/>
      <c r="D27" s="267">
        <f t="shared" ca="1" si="0"/>
        <v>2026</v>
      </c>
      <c r="E27" s="264"/>
      <c r="F27" s="262"/>
      <c r="G27" s="268" t="b">
        <f>IF(OR(B27='Security Related Factor'!$D$10,B27='Security Related Factor'!$D$11),IF(AND(D27&gt;3,F27="Invoice"),0,1))</f>
        <v>0</v>
      </c>
      <c r="H27" s="266">
        <f>IF(AND(B27&lt;&gt;'Security Related Factor'!$D$10,B27&lt;&gt;'Security Related Factor'!$D$11,B27&lt;&gt;'Security Related Factor'!$D$15,B27&lt;&gt;'Security Related Factor'!$D$16,B27&lt;&gt;'Security Related Factor'!$D$19),100%,
IF(OR(B27='Security Related Factor'!$D$15,B27='Security Related Factor'!$D$16,B27='Security Related Factor'!$D$19),0%,
IF(OR(B27='Security Related Factor'!$D$10,B27='Security Related Factor'!$D$11),IF(AND(D27&lt;=1,F27="Invoice"),90%*G27,
IF(OR(B27='Security Related Factor'!$D$10,B27='Security Related Factor'!$D$11),IF(AND(D27&gt;1,D27&lt;=3,F27="Invoice"),80%*G27,
IF(OR(B27='Security Related Factor'!$D$10,B27='Security Related Factor'!$D$11),IF(AND(D27&gt;4,F27="Invoice"),0%*G27,
IF(OR(B27='Security Related Factor'!$D$10,B27='Security Related Factor'!$D$11),IF(AND(D27&lt;=1,F27="Insurance"),80%*G27,
IF(OR(B27='Security Related Factor'!$D$10,B27='Security Related Factor'!$D$11),IF(AND(D27&gt;1,D27&lt;=3,F27="Insurance"),70%*G27,
IF(OR(B27='Security Related Factor'!$D$10,B27='Security Related Factor'!$D$11),IF(AND(D27&gt;3,D27&lt;=5,F27="Insurance"),60%*G27,
IF(OR(B27='Security Related Factor'!$D$10,B27='Security Related Factor'!$D$11),IF(AND(D27&gt;5,D27&lt;=7,F27="Insurance"),50%*G27,
IF(OR(B27='Security Related Factor'!$D$10,B27='Security Related Factor'!$D$11),IF(AND(D27&gt;7,D27&lt;=10,F27="Insurance"),40%*G27,
IF(OR(B27='Security Related Factor'!$D$10,B27='Security Related Factor'!$D$11),IF(AND(D27&gt;10,D27&lt;=15,F27="Insurance"),25%*G27,
IF(OR(B27='Security Related Factor'!$D$10,B27='Security Related Factor'!$D$11),IF(AND(D27&gt;15,F27="Insurance"),0%*G27))))))))))))))))))))))</f>
        <v>1</v>
      </c>
      <c r="I27" s="264" t="str">
        <f t="shared" si="2"/>
        <v/>
      </c>
      <c r="J27">
        <f t="shared" si="1"/>
        <v>0</v>
      </c>
      <c r="K27" s="82"/>
    </row>
    <row r="28" spans="1:11" ht="16" thickBot="1">
      <c r="A28" s="261">
        <v>25</v>
      </c>
      <c r="B28" s="262"/>
      <c r="C28" s="262"/>
      <c r="D28" s="267">
        <f t="shared" ca="1" si="0"/>
        <v>2026</v>
      </c>
      <c r="E28" s="264"/>
      <c r="F28" s="262"/>
      <c r="G28" s="268" t="b">
        <f>IF(OR(B28='Security Related Factor'!$D$10,B28='Security Related Factor'!$D$11),IF(AND(D28&gt;3,F28="Invoice"),0,1))</f>
        <v>0</v>
      </c>
      <c r="H28" s="266">
        <f>IF(AND(B28&lt;&gt;'Security Related Factor'!$D$10,B28&lt;&gt;'Security Related Factor'!$D$11,B28&lt;&gt;'Security Related Factor'!$D$15,B28&lt;&gt;'Security Related Factor'!$D$16,B28&lt;&gt;'Security Related Factor'!$D$19),100%,
IF(OR(B28='Security Related Factor'!$D$15,B28='Security Related Factor'!$D$16,B28='Security Related Factor'!$D$19),0%,
IF(OR(B28='Security Related Factor'!$D$10,B28='Security Related Factor'!$D$11),IF(AND(D28&lt;=1,F28="Invoice"),90%*G28,
IF(OR(B28='Security Related Factor'!$D$10,B28='Security Related Factor'!$D$11),IF(AND(D28&gt;1,D28&lt;=3,F28="Invoice"),80%*G28,
IF(OR(B28='Security Related Factor'!$D$10,B28='Security Related Factor'!$D$11),IF(AND(D28&gt;4,F28="Invoice"),0%*G28,
IF(OR(B28='Security Related Factor'!$D$10,B28='Security Related Factor'!$D$11),IF(AND(D28&lt;=1,F28="Insurance"),80%*G28,
IF(OR(B28='Security Related Factor'!$D$10,B28='Security Related Factor'!$D$11),IF(AND(D28&gt;1,D28&lt;=3,F28="Insurance"),70%*G28,
IF(OR(B28='Security Related Factor'!$D$10,B28='Security Related Factor'!$D$11),IF(AND(D28&gt;3,D28&lt;=5,F28="Insurance"),60%*G28,
IF(OR(B28='Security Related Factor'!$D$10,B28='Security Related Factor'!$D$11),IF(AND(D28&gt;5,D28&lt;=7,F28="Insurance"),50%*G28,
IF(OR(B28='Security Related Factor'!$D$10,B28='Security Related Factor'!$D$11),IF(AND(D28&gt;7,D28&lt;=10,F28="Insurance"),40%*G28,
IF(OR(B28='Security Related Factor'!$D$10,B28='Security Related Factor'!$D$11),IF(AND(D28&gt;10,D28&lt;=15,F28="Insurance"),25%*G28,
IF(OR(B28='Security Related Factor'!$D$10,B28='Security Related Factor'!$D$11),IF(AND(D28&gt;15,F28="Insurance"),0%*G28))))))))))))))))))))))</f>
        <v>1</v>
      </c>
      <c r="I28" s="264" t="str">
        <f t="shared" si="2"/>
        <v/>
      </c>
      <c r="J28">
        <f t="shared" si="1"/>
        <v>0</v>
      </c>
      <c r="K28" s="82"/>
    </row>
    <row r="29" spans="1:11" ht="16" thickBot="1">
      <c r="A29" s="261">
        <v>26</v>
      </c>
      <c r="B29" s="262"/>
      <c r="C29" s="262"/>
      <c r="D29" s="267">
        <f t="shared" ref="D29:D37" ca="1" si="3">YEAR(TODAY())-C29</f>
        <v>2026</v>
      </c>
      <c r="E29" s="264"/>
      <c r="F29" s="262"/>
      <c r="G29" s="268" t="b">
        <f>IF(OR(B29='Security Related Factor'!$D$10,B29='Security Related Factor'!$D$11),IF(AND(D29&gt;3,F29="Invoice"),0,1))</f>
        <v>0</v>
      </c>
      <c r="H29" s="266">
        <f>IF(AND(B29&lt;&gt;'Security Related Factor'!$D$10,B29&lt;&gt;'Security Related Factor'!$D$11,B29&lt;&gt;'Security Related Factor'!$D$15,B29&lt;&gt;'Security Related Factor'!$D$16,B29&lt;&gt;'Security Related Factor'!$D$19),100%,
IF(OR(B29='Security Related Factor'!$D$15,B29='Security Related Factor'!$D$16,B29='Security Related Factor'!$D$19),0%,
IF(OR(B29='Security Related Factor'!$D$10,B29='Security Related Factor'!$D$11),IF(AND(D29&lt;=1,F29="Invoice"),90%*G29,
IF(OR(B29='Security Related Factor'!$D$10,B29='Security Related Factor'!$D$11),IF(AND(D29&gt;1,D29&lt;=3,F29="Invoice"),80%*G29,
IF(OR(B29='Security Related Factor'!$D$10,B29='Security Related Factor'!$D$11),IF(AND(D29&gt;4,F29="Invoice"),0%*G29,
IF(OR(B29='Security Related Factor'!$D$10,B29='Security Related Factor'!$D$11),IF(AND(D29&lt;=1,F29="Insurance"),80%*G29,
IF(OR(B29='Security Related Factor'!$D$10,B29='Security Related Factor'!$D$11),IF(AND(D29&gt;1,D29&lt;=3,F29="Insurance"),70%*G29,
IF(OR(B29='Security Related Factor'!$D$10,B29='Security Related Factor'!$D$11),IF(AND(D29&gt;3,D29&lt;=5,F29="Insurance"),60%*G29,
IF(OR(B29='Security Related Factor'!$D$10,B29='Security Related Factor'!$D$11),IF(AND(D29&gt;5,D29&lt;=7,F29="Insurance"),50%*G29,
IF(OR(B29='Security Related Factor'!$D$10,B29='Security Related Factor'!$D$11),IF(AND(D29&gt;7,D29&lt;=10,F29="Insurance"),40%*G29,
IF(OR(B29='Security Related Factor'!$D$10,B29='Security Related Factor'!$D$11),IF(AND(D29&gt;10,D29&lt;=15,F29="Insurance"),25%*G29,
IF(OR(B29='Security Related Factor'!$D$10,B29='Security Related Factor'!$D$11),IF(AND(D29&gt;15,F29="Insurance"),0%*G29))))))))))))))))))))))</f>
        <v>1</v>
      </c>
      <c r="I29" s="264" t="str">
        <f t="shared" si="2"/>
        <v/>
      </c>
      <c r="J29">
        <f t="shared" si="1"/>
        <v>0</v>
      </c>
      <c r="K29" s="82"/>
    </row>
    <row r="30" spans="1:11" ht="16" thickBot="1">
      <c r="A30" s="261">
        <v>27</v>
      </c>
      <c r="B30" s="262"/>
      <c r="C30" s="262"/>
      <c r="D30" s="267">
        <f t="shared" ca="1" si="3"/>
        <v>2026</v>
      </c>
      <c r="E30" s="264"/>
      <c r="F30" s="262"/>
      <c r="G30" s="268" t="b">
        <f>IF(OR(B30='Security Related Factor'!$D$10,B30='Security Related Factor'!$D$11),IF(AND(D30&gt;3,F30="Invoice"),0,1))</f>
        <v>0</v>
      </c>
      <c r="H30" s="266">
        <f>IF(AND(B30&lt;&gt;'Security Related Factor'!$D$10,B30&lt;&gt;'Security Related Factor'!$D$11,B30&lt;&gt;'Security Related Factor'!$D$15,B30&lt;&gt;'Security Related Factor'!$D$16,B30&lt;&gt;'Security Related Factor'!$D$19),100%,
IF(OR(B30='Security Related Factor'!$D$15,B30='Security Related Factor'!$D$16,B30='Security Related Factor'!$D$19),0%,
IF(OR(B30='Security Related Factor'!$D$10,B30='Security Related Factor'!$D$11),IF(AND(D30&lt;=1,F30="Invoice"),90%*G30,
IF(OR(B30='Security Related Factor'!$D$10,B30='Security Related Factor'!$D$11),IF(AND(D30&gt;1,D30&lt;=3,F30="Invoice"),80%*G30,
IF(OR(B30='Security Related Factor'!$D$10,B30='Security Related Factor'!$D$11),IF(AND(D30&gt;4,F30="Invoice"),0%*G30,
IF(OR(B30='Security Related Factor'!$D$10,B30='Security Related Factor'!$D$11),IF(AND(D30&lt;=1,F30="Insurance"),80%*G30,
IF(OR(B30='Security Related Factor'!$D$10,B30='Security Related Factor'!$D$11),IF(AND(D30&gt;1,D30&lt;=3,F30="Insurance"),70%*G30,
IF(OR(B30='Security Related Factor'!$D$10,B30='Security Related Factor'!$D$11),IF(AND(D30&gt;3,D30&lt;=5,F30="Insurance"),60%*G30,
IF(OR(B30='Security Related Factor'!$D$10,B30='Security Related Factor'!$D$11),IF(AND(D30&gt;5,D30&lt;=7,F30="Insurance"),50%*G30,
IF(OR(B30='Security Related Factor'!$D$10,B30='Security Related Factor'!$D$11),IF(AND(D30&gt;7,D30&lt;=10,F30="Insurance"),40%*G30,
IF(OR(B30='Security Related Factor'!$D$10,B30='Security Related Factor'!$D$11),IF(AND(D30&gt;10,D30&lt;=15,F30="Insurance"),25%*G30,
IF(OR(B30='Security Related Factor'!$D$10,B30='Security Related Factor'!$D$11),IF(AND(D30&gt;15,F30="Insurance"),0%*G30))))))))))))))))))))))</f>
        <v>1</v>
      </c>
      <c r="I30" s="264" t="str">
        <f t="shared" si="2"/>
        <v/>
      </c>
      <c r="J30">
        <f t="shared" si="1"/>
        <v>0</v>
      </c>
      <c r="K30" s="82"/>
    </row>
    <row r="31" spans="1:11" ht="16" thickBot="1">
      <c r="A31" s="261">
        <v>28</v>
      </c>
      <c r="B31" s="262"/>
      <c r="C31" s="262"/>
      <c r="D31" s="267">
        <f t="shared" ca="1" si="3"/>
        <v>2026</v>
      </c>
      <c r="E31" s="264"/>
      <c r="F31" s="262"/>
      <c r="G31" s="268" t="b">
        <f>IF(OR(B31='Security Related Factor'!$D$10,B31='Security Related Factor'!$D$11),IF(AND(D31&gt;3,F31="Invoice"),0,1))</f>
        <v>0</v>
      </c>
      <c r="H31" s="266">
        <f>IF(AND(B31&lt;&gt;'Security Related Factor'!$D$10,B31&lt;&gt;'Security Related Factor'!$D$11,B31&lt;&gt;'Security Related Factor'!$D$15,B31&lt;&gt;'Security Related Factor'!$D$16,B31&lt;&gt;'Security Related Factor'!$D$19),100%,
IF(OR(B31='Security Related Factor'!$D$15,B31='Security Related Factor'!$D$16,B31='Security Related Factor'!$D$19),0%,
IF(OR(B31='Security Related Factor'!$D$10,B31='Security Related Factor'!$D$11),IF(AND(D31&lt;=1,F31="Invoice"),90%*G31,
IF(OR(B31='Security Related Factor'!$D$10,B31='Security Related Factor'!$D$11),IF(AND(D31&gt;1,D31&lt;=3,F31="Invoice"),80%*G31,
IF(OR(B31='Security Related Factor'!$D$10,B31='Security Related Factor'!$D$11),IF(AND(D31&gt;4,F31="Invoice"),0%*G31,
IF(OR(B31='Security Related Factor'!$D$10,B31='Security Related Factor'!$D$11),IF(AND(D31&lt;=1,F31="Insurance"),80%*G31,
IF(OR(B31='Security Related Factor'!$D$10,B31='Security Related Factor'!$D$11),IF(AND(D31&gt;1,D31&lt;=3,F31="Insurance"),70%*G31,
IF(OR(B31='Security Related Factor'!$D$10,B31='Security Related Factor'!$D$11),IF(AND(D31&gt;3,D31&lt;=5,F31="Insurance"),60%*G31,
IF(OR(B31='Security Related Factor'!$D$10,B31='Security Related Factor'!$D$11),IF(AND(D31&gt;5,D31&lt;=7,F31="Insurance"),50%*G31,
IF(OR(B31='Security Related Factor'!$D$10,B31='Security Related Factor'!$D$11),IF(AND(D31&gt;7,D31&lt;=10,F31="Insurance"),40%*G31,
IF(OR(B31='Security Related Factor'!$D$10,B31='Security Related Factor'!$D$11),IF(AND(D31&gt;10,D31&lt;=15,F31="Insurance"),25%*G31,
IF(OR(B31='Security Related Factor'!$D$10,B31='Security Related Factor'!$D$11),IF(AND(D31&gt;15,F31="Insurance"),0%*G31))))))))))))))))))))))</f>
        <v>1</v>
      </c>
      <c r="I31" s="264" t="str">
        <f t="shared" si="2"/>
        <v/>
      </c>
      <c r="J31">
        <f t="shared" si="1"/>
        <v>0</v>
      </c>
      <c r="K31" s="82"/>
    </row>
    <row r="32" spans="1:11" ht="16" thickBot="1">
      <c r="A32" s="261">
        <v>29</v>
      </c>
      <c r="B32" s="262"/>
      <c r="C32" s="262"/>
      <c r="D32" s="267">
        <f t="shared" ca="1" si="3"/>
        <v>2026</v>
      </c>
      <c r="E32" s="264"/>
      <c r="F32" s="262"/>
      <c r="G32" s="268" t="b">
        <f>IF(OR(B32='Security Related Factor'!$D$10,B32='Security Related Factor'!$D$11),IF(AND(D32&gt;3,F32="Invoice"),0,1))</f>
        <v>0</v>
      </c>
      <c r="H32" s="266">
        <f>IF(AND(B32&lt;&gt;'Security Related Factor'!$D$10,B32&lt;&gt;'Security Related Factor'!$D$11,B32&lt;&gt;'Security Related Factor'!$D$15,B32&lt;&gt;'Security Related Factor'!$D$16,B32&lt;&gt;'Security Related Factor'!$D$19),100%,
IF(OR(B32='Security Related Factor'!$D$15,B32='Security Related Factor'!$D$16,B32='Security Related Factor'!$D$19),0%,
IF(OR(B32='Security Related Factor'!$D$10,B32='Security Related Factor'!$D$11),IF(AND(D32&lt;=1,F32="Invoice"),90%*G32,
IF(OR(B32='Security Related Factor'!$D$10,B32='Security Related Factor'!$D$11),IF(AND(D32&gt;1,D32&lt;=3,F32="Invoice"),80%*G32,
IF(OR(B32='Security Related Factor'!$D$10,B32='Security Related Factor'!$D$11),IF(AND(D32&gt;4,F32="Invoice"),0%*G32,
IF(OR(B32='Security Related Factor'!$D$10,B32='Security Related Factor'!$D$11),IF(AND(D32&lt;=1,F32="Insurance"),80%*G32,
IF(OR(B32='Security Related Factor'!$D$10,B32='Security Related Factor'!$D$11),IF(AND(D32&gt;1,D32&lt;=3,F32="Insurance"),70%*G32,
IF(OR(B32='Security Related Factor'!$D$10,B32='Security Related Factor'!$D$11),IF(AND(D32&gt;3,D32&lt;=5,F32="Insurance"),60%*G32,
IF(OR(B32='Security Related Factor'!$D$10,B32='Security Related Factor'!$D$11),IF(AND(D32&gt;5,D32&lt;=7,F32="Insurance"),50%*G32,
IF(OR(B32='Security Related Factor'!$D$10,B32='Security Related Factor'!$D$11),IF(AND(D32&gt;7,D32&lt;=10,F32="Insurance"),40%*G32,
IF(OR(B32='Security Related Factor'!$D$10,B32='Security Related Factor'!$D$11),IF(AND(D32&gt;10,D32&lt;=15,F32="Insurance"),25%*G32,
IF(OR(B32='Security Related Factor'!$D$10,B32='Security Related Factor'!$D$11),IF(AND(D32&gt;15,F32="Insurance"),0%*G32))))))))))))))))))))))</f>
        <v>1</v>
      </c>
      <c r="I32" s="264" t="str">
        <f t="shared" si="2"/>
        <v/>
      </c>
      <c r="J32">
        <f t="shared" si="1"/>
        <v>0</v>
      </c>
      <c r="K32" s="82"/>
    </row>
    <row r="33" spans="1:11" ht="16" thickBot="1">
      <c r="A33" s="261">
        <v>30</v>
      </c>
      <c r="B33" s="262"/>
      <c r="C33" s="262"/>
      <c r="D33" s="267">
        <f t="shared" ca="1" si="3"/>
        <v>2026</v>
      </c>
      <c r="E33" s="264"/>
      <c r="F33" s="262"/>
      <c r="G33" s="268" t="b">
        <f>IF(OR(B33='Security Related Factor'!$D$10,B33='Security Related Factor'!$D$11),IF(AND(D33&gt;3,F33="Invoice"),0,1))</f>
        <v>0</v>
      </c>
      <c r="H33" s="266">
        <f>IF(AND(B33&lt;&gt;'Security Related Factor'!$D$10,B33&lt;&gt;'Security Related Factor'!$D$11,B33&lt;&gt;'Security Related Factor'!$D$15,B33&lt;&gt;'Security Related Factor'!$D$16,B33&lt;&gt;'Security Related Factor'!$D$19),100%,
IF(OR(B33='Security Related Factor'!$D$15,B33='Security Related Factor'!$D$16,B33='Security Related Factor'!$D$19),0%,
IF(OR(B33='Security Related Factor'!$D$10,B33='Security Related Factor'!$D$11),IF(AND(D33&lt;=1,F33="Invoice"),90%*G33,
IF(OR(B33='Security Related Factor'!$D$10,B33='Security Related Factor'!$D$11),IF(AND(D33&gt;1,D33&lt;=3,F33="Invoice"),80%*G33,
IF(OR(B33='Security Related Factor'!$D$10,B33='Security Related Factor'!$D$11),IF(AND(D33&gt;4,F33="Invoice"),0%*G33,
IF(OR(B33='Security Related Factor'!$D$10,B33='Security Related Factor'!$D$11),IF(AND(D33&lt;=1,F33="Insurance"),80%*G33,
IF(OR(B33='Security Related Factor'!$D$10,B33='Security Related Factor'!$D$11),IF(AND(D33&gt;1,D33&lt;=3,F33="Insurance"),70%*G33,
IF(OR(B33='Security Related Factor'!$D$10,B33='Security Related Factor'!$D$11),IF(AND(D33&gt;3,D33&lt;=5,F33="Insurance"),60%*G33,
IF(OR(B33='Security Related Factor'!$D$10,B33='Security Related Factor'!$D$11),IF(AND(D33&gt;5,D33&lt;=7,F33="Insurance"),50%*G33,
IF(OR(B33='Security Related Factor'!$D$10,B33='Security Related Factor'!$D$11),IF(AND(D33&gt;7,D33&lt;=10,F33="Insurance"),40%*G33,
IF(OR(B33='Security Related Factor'!$D$10,B33='Security Related Factor'!$D$11),IF(AND(D33&gt;10,D33&lt;=15,F33="Insurance"),25%*G33,
IF(OR(B33='Security Related Factor'!$D$10,B33='Security Related Factor'!$D$11),IF(AND(D33&gt;15,F33="Insurance"),0%*G33))))))))))))))))))))))</f>
        <v>1</v>
      </c>
      <c r="I33" s="264" t="str">
        <f t="shared" si="2"/>
        <v/>
      </c>
      <c r="J33">
        <f t="shared" si="1"/>
        <v>0</v>
      </c>
      <c r="K33" s="82"/>
    </row>
    <row r="34" spans="1:11" ht="16" thickBot="1">
      <c r="A34" s="261">
        <v>31</v>
      </c>
      <c r="B34" s="262"/>
      <c r="C34" s="262"/>
      <c r="D34" s="267">
        <f t="shared" ca="1" si="3"/>
        <v>2026</v>
      </c>
      <c r="E34" s="264"/>
      <c r="F34" s="262"/>
      <c r="G34" s="268" t="b">
        <f>IF(OR(B34='Security Related Factor'!$D$10,B34='Security Related Factor'!$D$11),IF(AND(D34&gt;3,F34="Invoice"),0,1))</f>
        <v>0</v>
      </c>
      <c r="H34" s="266">
        <f>IF(AND(B34&lt;&gt;'Security Related Factor'!$D$10,B34&lt;&gt;'Security Related Factor'!$D$11,B34&lt;&gt;'Security Related Factor'!$D$15,B34&lt;&gt;'Security Related Factor'!$D$16,B34&lt;&gt;'Security Related Factor'!$D$19),100%,
IF(OR(B34='Security Related Factor'!$D$15,B34='Security Related Factor'!$D$16,B34='Security Related Factor'!$D$19),0%,
IF(OR(B34='Security Related Factor'!$D$10,B34='Security Related Factor'!$D$11),IF(AND(D34&lt;=1,F34="Invoice"),90%*G34,
IF(OR(B34='Security Related Factor'!$D$10,B34='Security Related Factor'!$D$11),IF(AND(D34&gt;1,D34&lt;=3,F34="Invoice"),80%*G34,
IF(OR(B34='Security Related Factor'!$D$10,B34='Security Related Factor'!$D$11),IF(AND(D34&gt;4,F34="Invoice"),0%*G34,
IF(OR(B34='Security Related Factor'!$D$10,B34='Security Related Factor'!$D$11),IF(AND(D34&lt;=1,F34="Insurance"),80%*G34,
IF(OR(B34='Security Related Factor'!$D$10,B34='Security Related Factor'!$D$11),IF(AND(D34&gt;1,D34&lt;=3,F34="Insurance"),70%*G34,
IF(OR(B34='Security Related Factor'!$D$10,B34='Security Related Factor'!$D$11),IF(AND(D34&gt;3,D34&lt;=5,F34="Insurance"),60%*G34,
IF(OR(B34='Security Related Factor'!$D$10,B34='Security Related Factor'!$D$11),IF(AND(D34&gt;5,D34&lt;=7,F34="Insurance"),50%*G34,
IF(OR(B34='Security Related Factor'!$D$10,B34='Security Related Factor'!$D$11),IF(AND(D34&gt;7,D34&lt;=10,F34="Insurance"),40%*G34,
IF(OR(B34='Security Related Factor'!$D$10,B34='Security Related Factor'!$D$11),IF(AND(D34&gt;10,D34&lt;=15,F34="Insurance"),25%*G34,
IF(OR(B34='Security Related Factor'!$D$10,B34='Security Related Factor'!$D$11),IF(AND(D34&gt;15,F34="Insurance"),0%*G34))))))))))))))))))))))</f>
        <v>1</v>
      </c>
      <c r="I34" s="264" t="str">
        <f t="shared" si="2"/>
        <v/>
      </c>
      <c r="J34">
        <f t="shared" si="1"/>
        <v>0</v>
      </c>
      <c r="K34" s="82"/>
    </row>
    <row r="35" spans="1:11" ht="16" thickBot="1">
      <c r="A35" s="261">
        <v>32</v>
      </c>
      <c r="B35" s="262"/>
      <c r="C35" s="262"/>
      <c r="D35" s="267">
        <f t="shared" ca="1" si="3"/>
        <v>2026</v>
      </c>
      <c r="E35" s="264"/>
      <c r="F35" s="262"/>
      <c r="G35" s="268" t="b">
        <f>IF(OR(B35='Security Related Factor'!$D$10,B35='Security Related Factor'!$D$11),IF(AND(D35&gt;3,F35="Invoice"),0,1))</f>
        <v>0</v>
      </c>
      <c r="H35" s="266">
        <f>IF(AND(B35&lt;&gt;'Security Related Factor'!$D$10,B35&lt;&gt;'Security Related Factor'!$D$11,B35&lt;&gt;'Security Related Factor'!$D$15,B35&lt;&gt;'Security Related Factor'!$D$16,B35&lt;&gt;'Security Related Factor'!$D$19),100%,
IF(OR(B35='Security Related Factor'!$D$15,B35='Security Related Factor'!$D$16,B35='Security Related Factor'!$D$19),0%,
IF(OR(B35='Security Related Factor'!$D$10,B35='Security Related Factor'!$D$11),IF(AND(D35&lt;=1,F35="Invoice"),90%*G35,
IF(OR(B35='Security Related Factor'!$D$10,B35='Security Related Factor'!$D$11),IF(AND(D35&gt;1,D35&lt;=3,F35="Invoice"),80%*G35,
IF(OR(B35='Security Related Factor'!$D$10,B35='Security Related Factor'!$D$11),IF(AND(D35&gt;4,F35="Invoice"),0%*G35,
IF(OR(B35='Security Related Factor'!$D$10,B35='Security Related Factor'!$D$11),IF(AND(D35&lt;=1,F35="Insurance"),80%*G35,
IF(OR(B35='Security Related Factor'!$D$10,B35='Security Related Factor'!$D$11),IF(AND(D35&gt;1,D35&lt;=3,F35="Insurance"),70%*G35,
IF(OR(B35='Security Related Factor'!$D$10,B35='Security Related Factor'!$D$11),IF(AND(D35&gt;3,D35&lt;=5,F35="Insurance"),60%*G35,
IF(OR(B35='Security Related Factor'!$D$10,B35='Security Related Factor'!$D$11),IF(AND(D35&gt;5,D35&lt;=7,F35="Insurance"),50%*G35,
IF(OR(B35='Security Related Factor'!$D$10,B35='Security Related Factor'!$D$11),IF(AND(D35&gt;7,D35&lt;=10,F35="Insurance"),40%*G35,
IF(OR(B35='Security Related Factor'!$D$10,B35='Security Related Factor'!$D$11),IF(AND(D35&gt;10,D35&lt;=15,F35="Insurance"),25%*G35,
IF(OR(B35='Security Related Factor'!$D$10,B35='Security Related Factor'!$D$11),IF(AND(D35&gt;15,F35="Insurance"),0%*G35))))))))))))))))))))))</f>
        <v>1</v>
      </c>
      <c r="I35" s="264" t="str">
        <f t="shared" si="2"/>
        <v/>
      </c>
      <c r="J35">
        <f t="shared" si="1"/>
        <v>0</v>
      </c>
      <c r="K35" s="82"/>
    </row>
    <row r="36" spans="1:11" ht="16" thickBot="1">
      <c r="A36" s="261">
        <v>33</v>
      </c>
      <c r="B36" s="262"/>
      <c r="C36" s="262"/>
      <c r="D36" s="267">
        <f t="shared" ca="1" si="3"/>
        <v>2026</v>
      </c>
      <c r="E36" s="264"/>
      <c r="F36" s="262"/>
      <c r="G36" s="268" t="b">
        <f>IF(OR(B36='Security Related Factor'!$D$10,B36='Security Related Factor'!$D$11),IF(AND(D36&gt;3,F36="Invoice"),0,1))</f>
        <v>0</v>
      </c>
      <c r="H36" s="266">
        <f>IF(AND(B36&lt;&gt;'Security Related Factor'!$D$10,B36&lt;&gt;'Security Related Factor'!$D$11,B36&lt;&gt;'Security Related Factor'!$D$15,B36&lt;&gt;'Security Related Factor'!$D$16,B36&lt;&gt;'Security Related Factor'!$D$19),100%,
IF(OR(B36='Security Related Factor'!$D$15,B36='Security Related Factor'!$D$16,B36='Security Related Factor'!$D$19),0%,
IF(OR(B36='Security Related Factor'!$D$10,B36='Security Related Factor'!$D$11),IF(AND(D36&lt;=1,F36="Invoice"),90%*G36,
IF(OR(B36='Security Related Factor'!$D$10,B36='Security Related Factor'!$D$11),IF(AND(D36&gt;1,D36&lt;=3,F36="Invoice"),80%*G36,
IF(OR(B36='Security Related Factor'!$D$10,B36='Security Related Factor'!$D$11),IF(AND(D36&gt;4,F36="Invoice"),0%*G36,
IF(OR(B36='Security Related Factor'!$D$10,B36='Security Related Factor'!$D$11),IF(AND(D36&lt;=1,F36="Insurance"),80%*G36,
IF(OR(B36='Security Related Factor'!$D$10,B36='Security Related Factor'!$D$11),IF(AND(D36&gt;1,D36&lt;=3,F36="Insurance"),70%*G36,
IF(OR(B36='Security Related Factor'!$D$10,B36='Security Related Factor'!$D$11),IF(AND(D36&gt;3,D36&lt;=5,F36="Insurance"),60%*G36,
IF(OR(B36='Security Related Factor'!$D$10,B36='Security Related Factor'!$D$11),IF(AND(D36&gt;5,D36&lt;=7,F36="Insurance"),50%*G36,
IF(OR(B36='Security Related Factor'!$D$10,B36='Security Related Factor'!$D$11),IF(AND(D36&gt;7,D36&lt;=10,F36="Insurance"),40%*G36,
IF(OR(B36='Security Related Factor'!$D$10,B36='Security Related Factor'!$D$11),IF(AND(D36&gt;10,D36&lt;=15,F36="Insurance"),25%*G36,
IF(OR(B36='Security Related Factor'!$D$10,B36='Security Related Factor'!$D$11),IF(AND(D36&gt;15,F36="Insurance"),0%*G36))))))))))))))))))))))</f>
        <v>1</v>
      </c>
      <c r="I36" s="264" t="str">
        <f t="shared" si="2"/>
        <v/>
      </c>
      <c r="J36">
        <f t="shared" si="1"/>
        <v>0</v>
      </c>
      <c r="K36" s="82"/>
    </row>
    <row r="37" spans="1:11" ht="16" thickBot="1">
      <c r="A37" s="269">
        <v>34</v>
      </c>
      <c r="B37" s="270"/>
      <c r="C37" s="270"/>
      <c r="D37" s="271">
        <f t="shared" ca="1" si="3"/>
        <v>2026</v>
      </c>
      <c r="E37" s="272"/>
      <c r="F37" s="270"/>
      <c r="G37" s="268" t="b">
        <f>IF(OR(B37='Security Related Factor'!$D$10,B37='Security Related Factor'!$D$11),IF(AND(D37&gt;3,F37="Invoice"),0,1))</f>
        <v>0</v>
      </c>
      <c r="H37" s="266">
        <f>IF(AND(B37&lt;&gt;'Security Related Factor'!$D$10,B37&lt;&gt;'Security Related Factor'!$D$11,B37&lt;&gt;'Security Related Factor'!$D$15,B37&lt;&gt;'Security Related Factor'!$D$16,B37&lt;&gt;'Security Related Factor'!$D$19),100%,
IF(OR(B37='Security Related Factor'!$D$15,B37='Security Related Factor'!$D$16,B37='Security Related Factor'!$D$19),0%,
IF(OR(B37='Security Related Factor'!$D$10,B37='Security Related Factor'!$D$11),IF(AND(D37&lt;=1,F37="Invoice"),90%*G37,
IF(OR(B37='Security Related Factor'!$D$10,B37='Security Related Factor'!$D$11),IF(AND(D37&gt;1,D37&lt;=3,F37="Invoice"),80%*G37,
IF(OR(B37='Security Related Factor'!$D$10,B37='Security Related Factor'!$D$11),IF(AND(D37&gt;4,F37="Invoice"),0%*G37,
IF(OR(B37='Security Related Factor'!$D$10,B37='Security Related Factor'!$D$11),IF(AND(D37&lt;=1,F37="Insurance"),80%*G37,
IF(OR(B37='Security Related Factor'!$D$10,B37='Security Related Factor'!$D$11),IF(AND(D37&gt;1,D37&lt;=3,F37="Insurance"),70%*G37,
IF(OR(B37='Security Related Factor'!$D$10,B37='Security Related Factor'!$D$11),IF(AND(D37&gt;3,D37&lt;=5,F37="Insurance"),60%*G37,
IF(OR(B37='Security Related Factor'!$D$10,B37='Security Related Factor'!$D$11),IF(AND(D37&gt;5,D37&lt;=7,F37="Insurance"),50%*G37,
IF(OR(B37='Security Related Factor'!$D$10,B37='Security Related Factor'!$D$11),IF(AND(D37&gt;7,D37&lt;=10,F37="Insurance"),40%*G37,
IF(OR(B37='Security Related Factor'!$D$10,B37='Security Related Factor'!$D$11),IF(AND(D37&gt;10,D37&lt;=15,F37="Insurance"),25%*G37,
IF(OR(B37='Security Related Factor'!$D$10,B37='Security Related Factor'!$D$11),IF(AND(D37&gt;15,F37="Insurance"),0%*G37))))))))))))))))))))))</f>
        <v>1</v>
      </c>
      <c r="I37" s="264" t="str">
        <f t="shared" si="2"/>
        <v/>
      </c>
      <c r="J37">
        <f t="shared" si="1"/>
        <v>0</v>
      </c>
      <c r="K37" s="82"/>
    </row>
    <row r="38" spans="1:11" s="200" customFormat="1" ht="15" thickBot="1">
      <c r="A38" s="344"/>
      <c r="B38" s="345"/>
      <c r="C38" s="345"/>
      <c r="D38" s="345"/>
      <c r="E38" s="345"/>
      <c r="F38" s="346"/>
      <c r="G38" s="197"/>
      <c r="H38" s="198"/>
      <c r="I38" s="199">
        <f>SUM(I4:I37)</f>
        <v>0</v>
      </c>
    </row>
    <row r="39" spans="1:11" s="200" customFormat="1" ht="15" hidden="1" thickBot="1">
      <c r="A39" s="347" t="s">
        <v>421</v>
      </c>
      <c r="B39" s="348"/>
      <c r="C39" s="348"/>
      <c r="D39" s="348"/>
      <c r="E39" s="348"/>
      <c r="F39" s="349"/>
      <c r="I39" s="199" t="str">
        <f>IF(SUM(I4:I37)=0,"",VLOOKUP(MAX(I4:I37),I4:J37,2,0))</f>
        <v/>
      </c>
    </row>
    <row r="40" spans="1:11" s="201" customFormat="1">
      <c r="E40" s="202"/>
      <c r="I40" s="202"/>
    </row>
    <row r="42" spans="1:11">
      <c r="B42" s="26" t="s">
        <v>423</v>
      </c>
      <c r="C42" s="26" t="s">
        <v>427</v>
      </c>
    </row>
  </sheetData>
  <mergeCells count="2">
    <mergeCell ref="A38:F38"/>
    <mergeCell ref="A39:F39"/>
  </mergeCells>
  <dataValidations count="1">
    <dataValidation type="list" allowBlank="1" showInputMessage="1" showErrorMessage="1" sqref="F4:F37">
      <formula1>"Engineer, Insurance, Invoice"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'Security Related Factor'!$D$5:$D$19</xm:f>
          </x14:formula1>
          <xm:sqref>B4:B37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1:G26"/>
  <sheetViews>
    <sheetView workbookViewId="0">
      <selection activeCell="F4" sqref="F4"/>
    </sheetView>
  </sheetViews>
  <sheetFormatPr defaultColWidth="15.7265625" defaultRowHeight="14"/>
  <cols>
    <col min="1" max="1" width="15.7265625" style="100"/>
    <col min="2" max="2" width="33.90625" style="100" bestFit="1" customWidth="1"/>
    <col min="3" max="3" width="16.81640625" style="100" bestFit="1" customWidth="1"/>
    <col min="4" max="7" width="14.54296875" style="100" bestFit="1" customWidth="1"/>
    <col min="8" max="16384" width="15.7265625" style="100"/>
  </cols>
  <sheetData>
    <row r="1" spans="2:7">
      <c r="B1" s="327" t="s">
        <v>342</v>
      </c>
      <c r="C1" s="327"/>
      <c r="D1" s="327"/>
      <c r="E1" s="327"/>
      <c r="F1" s="327"/>
    </row>
    <row r="2" spans="2:7">
      <c r="B2" s="350" t="s">
        <v>343</v>
      </c>
      <c r="C2" s="350"/>
      <c r="D2" s="350"/>
      <c r="E2" s="350"/>
      <c r="F2" s="350"/>
    </row>
    <row r="3" spans="2:7">
      <c r="B3" s="101"/>
      <c r="C3" s="101"/>
      <c r="D3" s="101"/>
      <c r="E3" s="101"/>
      <c r="F3" s="101"/>
    </row>
    <row r="4" spans="2:7" ht="28">
      <c r="B4" s="102" t="s">
        <v>344</v>
      </c>
      <c r="C4" s="111" t="str">
        <f>'Financial Statement'!B38</f>
        <v>July 07, 2025 G.C</v>
      </c>
      <c r="D4" s="111" t="str">
        <f>'Financial Statement'!C38</f>
        <v>July 7, 2024 G.C</v>
      </c>
      <c r="E4" s="111" t="str">
        <f>'Financial Statement'!D38</f>
        <v>July 7, 2023 G.C</v>
      </c>
      <c r="F4" s="111" t="str">
        <f>'Financial Statement'!E38</f>
        <v>July 7, 2022 G.C</v>
      </c>
      <c r="G4" s="102" t="s">
        <v>345</v>
      </c>
    </row>
    <row r="5" spans="2:7">
      <c r="B5" s="103" t="s">
        <v>346</v>
      </c>
      <c r="C5" s="207">
        <f>'Financial Statement'!B40</f>
        <v>0</v>
      </c>
      <c r="D5" s="207">
        <f>'Financial Statement'!C40</f>
        <v>0</v>
      </c>
      <c r="E5" s="207">
        <f>'Financial Statement'!D40</f>
        <v>0</v>
      </c>
      <c r="F5" s="207">
        <f>'Financial Statement'!E40</f>
        <v>0</v>
      </c>
      <c r="G5" s="208">
        <f t="shared" ref="G5:G10" si="0">AVERAGE(C5:F5)</f>
        <v>0</v>
      </c>
    </row>
    <row r="6" spans="2:7">
      <c r="B6" s="103" t="s">
        <v>347</v>
      </c>
      <c r="C6" s="207">
        <f>'Financial Statement'!B41</f>
        <v>0</v>
      </c>
      <c r="D6" s="207">
        <f>'Financial Statement'!C41</f>
        <v>0</v>
      </c>
      <c r="E6" s="207">
        <f>'Financial Statement'!D41</f>
        <v>0</v>
      </c>
      <c r="F6" s="207">
        <f>'Financial Statement'!E41</f>
        <v>0</v>
      </c>
      <c r="G6" s="208">
        <f t="shared" si="0"/>
        <v>0</v>
      </c>
    </row>
    <row r="7" spans="2:7">
      <c r="B7" s="103" t="s">
        <v>348</v>
      </c>
      <c r="C7" s="207">
        <f>'Financial Statement'!B43</f>
        <v>0</v>
      </c>
      <c r="D7" s="207">
        <f>'Financial Statement'!C43</f>
        <v>0</v>
      </c>
      <c r="E7" s="207">
        <f>'Financial Statement'!D43</f>
        <v>0</v>
      </c>
      <c r="F7" s="207">
        <f>'Financial Statement'!E43</f>
        <v>0</v>
      </c>
      <c r="G7" s="208">
        <f t="shared" si="0"/>
        <v>0</v>
      </c>
    </row>
    <row r="8" spans="2:7">
      <c r="B8" s="104" t="s">
        <v>349</v>
      </c>
      <c r="C8" s="209" t="e">
        <f>C6/C5</f>
        <v>#DIV/0!</v>
      </c>
      <c r="D8" s="209" t="e">
        <f t="shared" ref="D8" si="1">D6/D5</f>
        <v>#DIV/0!</v>
      </c>
      <c r="E8" s="209" t="e">
        <f>E6/E5</f>
        <v>#DIV/0!</v>
      </c>
      <c r="F8" s="209" t="e">
        <f t="shared" ref="F8" si="2">F6/F5</f>
        <v>#DIV/0!</v>
      </c>
      <c r="G8" s="208" t="e">
        <f t="shared" si="0"/>
        <v>#DIV/0!</v>
      </c>
    </row>
    <row r="9" spans="2:7">
      <c r="B9" s="104" t="s">
        <v>371</v>
      </c>
      <c r="C9" s="209" t="e">
        <f>(C5-D5)/D5</f>
        <v>#DIV/0!</v>
      </c>
      <c r="D9" s="209" t="e">
        <f t="shared" ref="D9" si="3">(D5-E5)/E5</f>
        <v>#DIV/0!</v>
      </c>
      <c r="E9" s="209" t="e">
        <f>(E5-F5)/F5</f>
        <v>#DIV/0!</v>
      </c>
      <c r="F9" s="209"/>
      <c r="G9" s="210" t="e">
        <f t="shared" si="0"/>
        <v>#DIV/0!</v>
      </c>
    </row>
    <row r="10" spans="2:7">
      <c r="B10" s="104" t="s">
        <v>370</v>
      </c>
      <c r="C10" s="209" t="e">
        <f>(C7-D7)/D7</f>
        <v>#DIV/0!</v>
      </c>
      <c r="D10" s="209" t="e">
        <f t="shared" ref="D10" si="4">(D7-E7)/E7</f>
        <v>#DIV/0!</v>
      </c>
      <c r="E10" s="209" t="e">
        <f>(E7-F7)/F7</f>
        <v>#DIV/0!</v>
      </c>
      <c r="F10" s="209"/>
      <c r="G10" s="210" t="e">
        <f t="shared" si="0"/>
        <v>#DIV/0!</v>
      </c>
    </row>
    <row r="11" spans="2:7">
      <c r="C11" s="109"/>
      <c r="D11" s="109"/>
      <c r="E11" s="109"/>
      <c r="F11" s="109"/>
      <c r="G11" s="110"/>
    </row>
    <row r="13" spans="2:7">
      <c r="B13" s="135" t="s">
        <v>84</v>
      </c>
      <c r="C13" s="140" t="s">
        <v>350</v>
      </c>
    </row>
    <row r="14" spans="2:7">
      <c r="B14" s="104" t="s">
        <v>351</v>
      </c>
      <c r="C14" s="203" t="e">
        <f>G5+G5*G9</f>
        <v>#DIV/0!</v>
      </c>
    </row>
    <row r="15" spans="2:7">
      <c r="B15" s="104" t="s">
        <v>352</v>
      </c>
      <c r="C15" s="203" t="e">
        <f>G8</f>
        <v>#DIV/0!</v>
      </c>
    </row>
    <row r="16" spans="2:7">
      <c r="B16" s="104" t="s">
        <v>353</v>
      </c>
      <c r="C16" s="204" t="e">
        <f>C15*C14</f>
        <v>#DIV/0!</v>
      </c>
    </row>
    <row r="17" spans="2:3">
      <c r="B17" s="104" t="s">
        <v>354</v>
      </c>
      <c r="C17" s="204" t="e">
        <f>G7+G7*G10</f>
        <v>#DIV/0!</v>
      </c>
    </row>
    <row r="18" spans="2:3">
      <c r="B18" s="104" t="s">
        <v>355</v>
      </c>
      <c r="C18" s="203" t="e">
        <f>C17+C16</f>
        <v>#DIV/0!</v>
      </c>
    </row>
    <row r="19" spans="2:3">
      <c r="B19" s="104" t="s">
        <v>356</v>
      </c>
      <c r="C19" s="205">
        <f>'Data Validation'!C71</f>
        <v>0</v>
      </c>
    </row>
    <row r="20" spans="2:3">
      <c r="B20" s="104" t="s">
        <v>357</v>
      </c>
      <c r="C20" s="203" t="e">
        <f>C18/C19</f>
        <v>#DIV/0!</v>
      </c>
    </row>
    <row r="21" spans="2:3">
      <c r="B21" s="104" t="s">
        <v>358</v>
      </c>
      <c r="C21" s="203">
        <f>'Financial Statement'!B32</f>
        <v>0</v>
      </c>
    </row>
    <row r="22" spans="2:3">
      <c r="B22" s="104" t="s">
        <v>422</v>
      </c>
      <c r="C22" s="273"/>
    </row>
    <row r="23" spans="2:3">
      <c r="B23" s="107" t="s">
        <v>359</v>
      </c>
      <c r="C23" s="206" t="e">
        <f>C20-C21-C22</f>
        <v>#DIV/0!</v>
      </c>
    </row>
    <row r="26" spans="2:3">
      <c r="B26" s="26" t="s">
        <v>423</v>
      </c>
      <c r="C26" s="26" t="s">
        <v>427</v>
      </c>
    </row>
  </sheetData>
  <mergeCells count="2">
    <mergeCell ref="B1:F1"/>
    <mergeCell ref="B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B1:H16"/>
  <sheetViews>
    <sheetView workbookViewId="0">
      <selection activeCell="J20" sqref="J20"/>
    </sheetView>
  </sheetViews>
  <sheetFormatPr defaultRowHeight="14.5"/>
  <cols>
    <col min="2" max="2" width="33.90625" bestFit="1" customWidth="1"/>
    <col min="3" max="3" width="16.81640625" bestFit="1" customWidth="1"/>
  </cols>
  <sheetData>
    <row r="1" spans="2:8" s="100" customFormat="1" ht="14">
      <c r="B1" s="327" t="s">
        <v>342</v>
      </c>
      <c r="C1" s="327"/>
      <c r="D1" s="327"/>
      <c r="E1" s="327"/>
      <c r="F1" s="327"/>
      <c r="G1" s="327"/>
      <c r="H1" s="327"/>
    </row>
    <row r="2" spans="2:8" s="100" customFormat="1" ht="14">
      <c r="B2" s="350" t="s">
        <v>360</v>
      </c>
      <c r="C2" s="350"/>
      <c r="D2" s="350"/>
      <c r="E2" s="350"/>
      <c r="F2" s="350"/>
      <c r="G2" s="350"/>
      <c r="H2" s="350"/>
    </row>
    <row r="3" spans="2:8" s="100" customFormat="1" ht="14">
      <c r="B3" s="101"/>
      <c r="C3" s="101"/>
      <c r="D3" s="101"/>
      <c r="E3" s="101"/>
      <c r="F3" s="101"/>
      <c r="G3" s="101"/>
      <c r="H3" s="101"/>
    </row>
    <row r="5" spans="2:8">
      <c r="B5" s="135" t="s">
        <v>84</v>
      </c>
      <c r="C5" s="140" t="s">
        <v>350</v>
      </c>
    </row>
    <row r="6" spans="2:8">
      <c r="B6" s="104" t="s">
        <v>361</v>
      </c>
      <c r="C6" s="105"/>
    </row>
    <row r="7" spans="2:8">
      <c r="B7" s="104" t="s">
        <v>362</v>
      </c>
      <c r="C7" s="106"/>
    </row>
    <row r="8" spans="2:8">
      <c r="B8" s="104" t="s">
        <v>355</v>
      </c>
      <c r="C8" s="204">
        <f>C7</f>
        <v>0</v>
      </c>
    </row>
    <row r="9" spans="2:8">
      <c r="B9" s="104" t="s">
        <v>356</v>
      </c>
      <c r="C9" s="205">
        <f>'Data Validation'!C71</f>
        <v>0</v>
      </c>
    </row>
    <row r="10" spans="2:8">
      <c r="B10" s="104" t="s">
        <v>357</v>
      </c>
      <c r="C10" s="203" t="e">
        <f>C8/C9</f>
        <v>#DIV/0!</v>
      </c>
    </row>
    <row r="11" spans="2:8">
      <c r="B11" s="104" t="s">
        <v>358</v>
      </c>
      <c r="C11" s="203">
        <f>'Financial Statement'!B32</f>
        <v>0</v>
      </c>
    </row>
    <row r="12" spans="2:8">
      <c r="B12" s="104" t="s">
        <v>422</v>
      </c>
      <c r="C12" s="273"/>
    </row>
    <row r="13" spans="2:8">
      <c r="B13" s="107" t="s">
        <v>359</v>
      </c>
      <c r="C13" s="206" t="e">
        <f>C10-C11-C12</f>
        <v>#DIV/0!</v>
      </c>
    </row>
    <row r="16" spans="2:8">
      <c r="B16" s="26" t="s">
        <v>423</v>
      </c>
      <c r="C16" s="26" t="s">
        <v>427</v>
      </c>
    </row>
  </sheetData>
  <sheetProtection algorithmName="SHA-512" hashValue="yOwApLZM/lL3mEkleOoxzkh72dzTkrGnKM+6Pu7XOQVqX6Vc8z8C6G+kgrqU2gVd4TscpvVsvAX0R+Er9Rw4aw==" saltValue="9QJjiRGH7dGKNXMVIf98yA==" spinCount="100000" sheet="1" objects="1" scenarios="1"/>
  <mergeCells count="2">
    <mergeCell ref="B1:H1"/>
    <mergeCell ref="B2:H2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2:E83"/>
  <sheetViews>
    <sheetView workbookViewId="0">
      <selection activeCell="D18" sqref="D18"/>
    </sheetView>
  </sheetViews>
  <sheetFormatPr defaultRowHeight="14.5"/>
  <cols>
    <col min="1" max="1" width="4.90625" style="45" bestFit="1" customWidth="1"/>
    <col min="2" max="2" width="66.81640625" bestFit="1" customWidth="1"/>
    <col min="3" max="3" width="24.7265625" customWidth="1"/>
    <col min="4" max="4" width="37.54296875" customWidth="1"/>
    <col min="5" max="5" width="6.90625" bestFit="1" customWidth="1"/>
  </cols>
  <sheetData>
    <row r="2" spans="1:5">
      <c r="A2" s="46"/>
      <c r="B2" s="35" t="s">
        <v>128</v>
      </c>
      <c r="C2" s="352"/>
      <c r="D2" s="353"/>
      <c r="E2" s="354"/>
    </row>
    <row r="3" spans="1:5">
      <c r="A3" s="46"/>
      <c r="B3" s="35"/>
      <c r="C3" s="50"/>
      <c r="D3" s="35" t="s">
        <v>431</v>
      </c>
      <c r="E3" s="35" t="s">
        <v>240</v>
      </c>
    </row>
    <row r="4" spans="1:5">
      <c r="A4" s="46"/>
      <c r="B4" s="35" t="s">
        <v>1</v>
      </c>
      <c r="C4" s="283"/>
      <c r="D4" s="9"/>
      <c r="E4" s="9"/>
    </row>
    <row r="5" spans="1:5">
      <c r="A5" s="46"/>
      <c r="B5" s="35" t="s">
        <v>130</v>
      </c>
      <c r="C5" s="275"/>
      <c r="D5" s="9"/>
      <c r="E5" s="9"/>
    </row>
    <row r="6" spans="1:5">
      <c r="A6" s="46"/>
      <c r="B6" s="35" t="s">
        <v>131</v>
      </c>
      <c r="C6" s="275"/>
      <c r="D6" s="9"/>
      <c r="E6" s="9"/>
    </row>
    <row r="7" spans="1:5">
      <c r="A7" s="46"/>
      <c r="B7" s="35" t="s">
        <v>330</v>
      </c>
      <c r="C7" s="276"/>
      <c r="D7" s="9"/>
      <c r="E7" s="9"/>
    </row>
    <row r="8" spans="1:5">
      <c r="A8" s="46"/>
      <c r="B8" s="35" t="s">
        <v>331</v>
      </c>
      <c r="C8" s="275"/>
      <c r="D8" s="9"/>
      <c r="E8" s="9"/>
    </row>
    <row r="10" spans="1:5">
      <c r="A10" s="49">
        <v>1</v>
      </c>
      <c r="B10" s="351" t="s">
        <v>133</v>
      </c>
      <c r="C10" s="351"/>
      <c r="D10" s="351"/>
      <c r="E10" s="351"/>
    </row>
    <row r="11" spans="1:5">
      <c r="A11" s="46"/>
      <c r="B11" s="9"/>
      <c r="C11" s="9"/>
      <c r="D11" s="35" t="str">
        <f>D3</f>
        <v>Justification</v>
      </c>
      <c r="E11" s="35" t="s">
        <v>240</v>
      </c>
    </row>
    <row r="12" spans="1:5">
      <c r="A12" s="46">
        <v>1.1000000000000001</v>
      </c>
      <c r="B12" s="47" t="s">
        <v>134</v>
      </c>
      <c r="C12" s="275"/>
      <c r="D12" s="9"/>
      <c r="E12" s="9"/>
    </row>
    <row r="13" spans="1:5">
      <c r="A13" s="46">
        <v>1.2</v>
      </c>
      <c r="B13" s="47" t="s">
        <v>135</v>
      </c>
      <c r="C13" s="275"/>
      <c r="D13" s="9"/>
      <c r="E13" s="9"/>
    </row>
    <row r="14" spans="1:5">
      <c r="A14" s="46">
        <v>1.3</v>
      </c>
      <c r="B14" s="47" t="s">
        <v>136</v>
      </c>
      <c r="C14" s="275"/>
      <c r="D14" s="9"/>
      <c r="E14" s="9"/>
    </row>
    <row r="15" spans="1:5">
      <c r="A15" s="46"/>
      <c r="B15" s="47"/>
      <c r="C15" s="9"/>
      <c r="D15" s="9"/>
      <c r="E15" s="9"/>
    </row>
    <row r="16" spans="1:5">
      <c r="A16" s="49">
        <v>2</v>
      </c>
      <c r="B16" s="351" t="s">
        <v>326</v>
      </c>
      <c r="C16" s="351"/>
      <c r="D16" s="351"/>
      <c r="E16" s="351"/>
    </row>
    <row r="17" spans="1:5">
      <c r="A17" s="46"/>
      <c r="B17" s="47" t="str">
        <f>'Business Strength Score'!B5</f>
        <v>Activity Ratio</v>
      </c>
      <c r="C17" s="299" t="e">
        <f>'Financial Statement'!F55</f>
        <v>#DIV/0!</v>
      </c>
      <c r="D17" s="9"/>
      <c r="E17" s="9"/>
    </row>
    <row r="18" spans="1:5">
      <c r="A18" s="46"/>
      <c r="B18" s="47" t="str">
        <f>'Business Strength Score'!B6</f>
        <v>Leverage (Total Debt to total asset)</v>
      </c>
      <c r="C18" s="299" t="e">
        <f>'Financial Statement'!B63</f>
        <v>#DIV/0!</v>
      </c>
      <c r="D18" s="9"/>
      <c r="E18" s="9"/>
    </row>
    <row r="19" spans="1:5">
      <c r="A19" s="46"/>
      <c r="B19" s="47" t="str">
        <f>'Business Strength Score'!B7</f>
        <v xml:space="preserve">Liquidity (Current Ratio = CA/CL) </v>
      </c>
      <c r="C19" s="300" t="e">
        <f>'Financial Statement'!B60</f>
        <v>#DIV/0!</v>
      </c>
      <c r="D19" s="9"/>
      <c r="E19" s="9"/>
    </row>
    <row r="20" spans="1:5">
      <c r="A20" s="46"/>
      <c r="B20" s="47" t="str">
        <f>'Business Strength Score'!B8</f>
        <v>Return on Asset =Net Income after tax /Total asset)</v>
      </c>
      <c r="C20" s="300" t="e">
        <f>'Financial Statement'!B66</f>
        <v>#DIV/0!</v>
      </c>
      <c r="D20" s="9"/>
      <c r="E20" s="9"/>
    </row>
    <row r="21" spans="1:5">
      <c r="A21" s="46"/>
      <c r="B21" s="47" t="str">
        <f>'Business Strength Score'!B9</f>
        <v>Operating profit Margin(Operating profit/Total Sales)</v>
      </c>
      <c r="C21" s="299" t="e">
        <f>'Financial Statement'!B69</f>
        <v>#DIV/0!</v>
      </c>
      <c r="D21" s="9"/>
      <c r="E21" s="9"/>
    </row>
    <row r="22" spans="1:5">
      <c r="A22" s="46"/>
      <c r="B22" s="47" t="str">
        <f>'Business Strength Score'!B10</f>
        <v>Debt Service Coverage Ratio (Net income after tax/Interest expenses)</v>
      </c>
      <c r="C22" s="299" t="str">
        <f>IF('Financial Statement'!B47="","",'Financial Statement'!B68)</f>
        <v/>
      </c>
      <c r="D22" s="9"/>
      <c r="E22" s="9"/>
    </row>
    <row r="23" spans="1:5">
      <c r="A23" s="46"/>
      <c r="B23" s="47" t="str">
        <f>'Business Strength Score'!B11</f>
        <v>Inventory Turnover Ratio (CGS/Average Inventory)</v>
      </c>
      <c r="C23" s="300" t="e">
        <f>'Financial Statement'!B56</f>
        <v>#DIV/0!</v>
      </c>
      <c r="D23" s="9"/>
      <c r="E23" s="9"/>
    </row>
    <row r="24" spans="1:5">
      <c r="A24" s="46"/>
      <c r="B24" s="47" t="str">
        <f>'Business Strength Score'!B12</f>
        <v>Return on Equity (Net Income / Equity)</v>
      </c>
      <c r="C24" s="299" t="e">
        <f>'Financial Statement'!B67</f>
        <v>#DIV/0!</v>
      </c>
      <c r="D24" s="9"/>
      <c r="E24" s="9"/>
    </row>
    <row r="25" spans="1:5">
      <c r="A25" s="46"/>
      <c r="B25" s="47" t="str">
        <f>'Business Strength Score'!B13</f>
        <v>Quality of Financial Statement</v>
      </c>
      <c r="C25" s="301">
        <f>'Financial Statement'!B51</f>
        <v>0</v>
      </c>
      <c r="D25" s="9"/>
      <c r="E25" s="9"/>
    </row>
    <row r="26" spans="1:5">
      <c r="A26" s="46"/>
      <c r="B26" s="47" t="str">
        <f>'Business Strength Score'!B14</f>
        <v>Negative Values</v>
      </c>
      <c r="C26" s="301">
        <f>'Financial Statement'!B52</f>
        <v>0</v>
      </c>
      <c r="D26" s="9"/>
      <c r="E26" s="9"/>
    </row>
    <row r="27" spans="1:5">
      <c r="A27" s="46"/>
      <c r="B27" s="47" t="str">
        <f>'Business Strength Score'!B15</f>
        <v>Total Equity/Total Asset</v>
      </c>
      <c r="C27" s="300" t="e">
        <f>'Financial Statement'!B62</f>
        <v>#DIV/0!</v>
      </c>
      <c r="D27" s="9"/>
      <c r="E27" s="9"/>
    </row>
    <row r="28" spans="1:5">
      <c r="A28" s="49">
        <v>3</v>
      </c>
      <c r="B28" s="351" t="s">
        <v>137</v>
      </c>
      <c r="C28" s="351"/>
      <c r="D28" s="351"/>
      <c r="E28" s="351"/>
    </row>
    <row r="29" spans="1:5">
      <c r="A29" s="46">
        <v>2.1</v>
      </c>
      <c r="B29" s="35" t="s">
        <v>241</v>
      </c>
      <c r="C29" s="284" t="s">
        <v>474</v>
      </c>
      <c r="D29" s="9"/>
      <c r="E29" s="9"/>
    </row>
    <row r="30" spans="1:5">
      <c r="A30" s="46" t="s">
        <v>142</v>
      </c>
      <c r="B30" s="48" t="s">
        <v>138</v>
      </c>
      <c r="C30" s="189" t="str">
        <f>IF(C31="NO","NO",IF(C29="NO","NO","YES"))</f>
        <v>NO</v>
      </c>
      <c r="D30" s="9"/>
      <c r="E30" s="9"/>
    </row>
    <row r="31" spans="1:5">
      <c r="A31" s="46"/>
      <c r="B31" s="48" t="s">
        <v>243</v>
      </c>
      <c r="C31" s="190" t="str">
        <f>IF(AND(C29="YES",'OD TURNOVER'!B4&gt;0),'OD TURNOVER'!B4,"NO")</f>
        <v>NO</v>
      </c>
      <c r="D31" s="9"/>
      <c r="E31" s="9"/>
    </row>
    <row r="32" spans="1:5">
      <c r="A32" s="46"/>
      <c r="B32" s="79" t="s">
        <v>311</v>
      </c>
      <c r="C32" s="188" t="str">
        <f>IF(C31="NO","NA",-MIN('OD SWING'!B14:B26)/('OD SWING'!B6))</f>
        <v>NA</v>
      </c>
      <c r="D32" s="85"/>
      <c r="E32" s="9"/>
    </row>
    <row r="33" spans="1:5">
      <c r="A33" s="46"/>
      <c r="B33" s="79" t="s">
        <v>312</v>
      </c>
      <c r="C33" s="188" t="str">
        <f>IF(C31="NO","NA",-MAX('OD SWING'!D14:D26)/('OD SWING'!B6))</f>
        <v>NA</v>
      </c>
      <c r="D33" s="78"/>
      <c r="E33" s="9"/>
    </row>
    <row r="34" spans="1:5">
      <c r="A34" s="46"/>
      <c r="B34" s="47" t="s">
        <v>244</v>
      </c>
      <c r="C34" s="281" t="str" cm="1">
        <f t="array" ref="C34">IF(C31="NO","NA",SUM('OD TURNOVER'!B13:B25/'OD TURNOVER'!B6))</f>
        <v>NA</v>
      </c>
      <c r="D34" s="73"/>
      <c r="E34" s="9"/>
    </row>
    <row r="35" spans="1:5">
      <c r="A35" s="46"/>
      <c r="B35" s="47" t="s">
        <v>268</v>
      </c>
      <c r="C35" s="189" t="str">
        <f>IF(C30="YES",'OD TURNOVER'!B10,"NA")</f>
        <v>NA</v>
      </c>
      <c r="D35" s="132"/>
      <c r="E35" s="9"/>
    </row>
    <row r="36" spans="1:5">
      <c r="A36" s="46" t="s">
        <v>143</v>
      </c>
      <c r="B36" s="35" t="s">
        <v>144</v>
      </c>
      <c r="C36" s="277"/>
      <c r="D36" s="9"/>
      <c r="E36" s="9"/>
    </row>
    <row r="37" spans="1:5">
      <c r="A37" s="46"/>
      <c r="B37" s="9" t="s">
        <v>145</v>
      </c>
      <c r="C37" s="280"/>
      <c r="D37" s="9"/>
      <c r="E37" s="9"/>
    </row>
    <row r="38" spans="1:5">
      <c r="A38" s="46" t="s">
        <v>146</v>
      </c>
      <c r="B38" s="35" t="s">
        <v>147</v>
      </c>
      <c r="C38" s="189" t="str">
        <f>IF(C39="NO","NO",IF(C29="NO","NO","YES"))</f>
        <v>NO</v>
      </c>
      <c r="D38" s="9"/>
      <c r="E38" s="9"/>
    </row>
    <row r="39" spans="1:5">
      <c r="A39" s="46"/>
      <c r="B39" s="48" t="s">
        <v>245</v>
      </c>
      <c r="C39" s="190" t="str">
        <f>IF(AND(C29="YES",'Merchandise Turnover'!C7&gt;0),'Merchandise Turnover'!C7,"NO")</f>
        <v>NO</v>
      </c>
      <c r="D39" s="9"/>
      <c r="E39" s="9"/>
    </row>
    <row r="40" spans="1:5">
      <c r="A40" s="46"/>
      <c r="B40" s="9" t="s">
        <v>148</v>
      </c>
      <c r="C40" s="274"/>
      <c r="D40" s="9"/>
      <c r="E40" s="9"/>
    </row>
    <row r="41" spans="1:5">
      <c r="A41" s="46"/>
      <c r="B41" s="9" t="s">
        <v>149</v>
      </c>
      <c r="C41" s="192" t="str" cm="1">
        <f t="array" ref="C41">IF(C38="NO","NA",SUM('Merchandise Turnover'!D14:D26/'Merchandise Turnover'!C8))</f>
        <v>NA</v>
      </c>
      <c r="D41" s="9"/>
      <c r="E41" s="9"/>
    </row>
    <row r="42" spans="1:5">
      <c r="A42" s="46" t="s">
        <v>150</v>
      </c>
      <c r="B42" s="35" t="s">
        <v>151</v>
      </c>
      <c r="C42" s="189" t="str">
        <f>IF(C43="NO","NO",IF(C29="NO","NO","YES"))</f>
        <v>NO</v>
      </c>
      <c r="D42" s="9"/>
      <c r="E42" s="9"/>
    </row>
    <row r="43" spans="1:5">
      <c r="A43" s="46"/>
      <c r="B43" s="48" t="s">
        <v>246</v>
      </c>
      <c r="C43" s="190" t="str">
        <f>IF(AND(C29="YES",'Pre-Shipment Turnover'!C7&gt;0),'Pre-Shipment Turnover'!C7,"NO")</f>
        <v>NO</v>
      </c>
      <c r="D43" s="9"/>
      <c r="E43" s="9"/>
    </row>
    <row r="44" spans="1:5">
      <c r="A44" s="46"/>
      <c r="B44" s="9" t="s">
        <v>152</v>
      </c>
      <c r="C44" s="274"/>
      <c r="D44" s="9"/>
      <c r="E44" s="9"/>
    </row>
    <row r="45" spans="1:5">
      <c r="A45" s="46"/>
      <c r="B45" s="9" t="s">
        <v>153</v>
      </c>
      <c r="C45" s="192" t="str" cm="1">
        <f t="array" ref="C45">IF(C42="NO","NA",SUM('Pre-Shipment Turnover'!D14:D26/'Pre-Shipment Turnover'!C8))</f>
        <v>NA</v>
      </c>
      <c r="D45" s="9"/>
      <c r="E45" s="9"/>
    </row>
    <row r="46" spans="1:5">
      <c r="A46" s="46" t="s">
        <v>154</v>
      </c>
      <c r="B46" s="35" t="s">
        <v>432</v>
      </c>
      <c r="C46" s="277" t="s">
        <v>104</v>
      </c>
      <c r="D46" s="9"/>
      <c r="E46" s="9"/>
    </row>
    <row r="47" spans="1:5">
      <c r="A47" s="46"/>
      <c r="B47" s="9" t="str">
        <f>'Data Validation'!B44</f>
        <v>Average settlement from the date of advance in FCY</v>
      </c>
      <c r="C47" s="282"/>
      <c r="D47" s="9"/>
      <c r="E47" s="9"/>
    </row>
    <row r="48" spans="1:5">
      <c r="A48" s="46" t="s">
        <v>156</v>
      </c>
      <c r="B48" s="35" t="s">
        <v>157</v>
      </c>
      <c r="C48" s="277" t="s">
        <v>104</v>
      </c>
      <c r="D48" s="9"/>
      <c r="E48" s="9"/>
    </row>
    <row r="49" spans="1:5">
      <c r="A49" s="46"/>
      <c r="B49" s="9" t="str">
        <f>'Credit History 29'!C57</f>
        <v>Settlement of Guarantee</v>
      </c>
      <c r="C49" s="282"/>
      <c r="D49" s="9"/>
      <c r="E49" s="9"/>
    </row>
    <row r="50" spans="1:5">
      <c r="A50" s="46">
        <v>2.2000000000000002</v>
      </c>
      <c r="B50" s="35" t="s">
        <v>139</v>
      </c>
      <c r="C50" s="277"/>
      <c r="D50" s="9"/>
      <c r="E50" s="9"/>
    </row>
    <row r="51" spans="1:5">
      <c r="A51" s="46"/>
      <c r="B51" s="47" t="s">
        <v>140</v>
      </c>
      <c r="C51" s="282"/>
      <c r="D51" s="9"/>
      <c r="E51" s="9"/>
    </row>
    <row r="52" spans="1:5">
      <c r="A52" s="46"/>
      <c r="B52" s="47" t="s">
        <v>141</v>
      </c>
      <c r="C52" s="282"/>
      <c r="D52" s="9"/>
      <c r="E52" s="9"/>
    </row>
    <row r="53" spans="1:5">
      <c r="A53" s="46">
        <v>2.2999999999999998</v>
      </c>
      <c r="B53" s="48" t="s">
        <v>158</v>
      </c>
      <c r="C53" s="277"/>
      <c r="D53" s="9"/>
      <c r="E53" s="9"/>
    </row>
    <row r="54" spans="1:5">
      <c r="A54" s="46"/>
      <c r="B54" s="9" t="s">
        <v>159</v>
      </c>
      <c r="C54" s="282"/>
      <c r="D54" s="9"/>
      <c r="E54" s="9"/>
    </row>
    <row r="55" spans="1:5">
      <c r="A55" s="46">
        <v>2.4</v>
      </c>
      <c r="B55" s="9" t="s">
        <v>310</v>
      </c>
      <c r="C55" s="277"/>
      <c r="D55" s="9"/>
      <c r="E55" s="9"/>
    </row>
    <row r="56" spans="1:5">
      <c r="A56" s="46"/>
      <c r="B56" s="9" t="s">
        <v>285</v>
      </c>
      <c r="C56" s="274"/>
      <c r="D56" s="9"/>
      <c r="E56" s="9"/>
    </row>
    <row r="57" spans="1:5">
      <c r="A57" s="46">
        <v>2.5</v>
      </c>
      <c r="B57" s="9" t="s">
        <v>463</v>
      </c>
      <c r="C57" s="188" t="str">
        <f>IF('Credit Information'!I27=0,"",SUM('Account Statement'!B14:B26)/'Credit Information'!I27)</f>
        <v/>
      </c>
      <c r="D57" s="9"/>
      <c r="E57" s="9"/>
    </row>
    <row r="58" spans="1:5">
      <c r="A58" s="49">
        <v>4</v>
      </c>
      <c r="B58" s="351" t="s">
        <v>160</v>
      </c>
      <c r="C58" s="351"/>
      <c r="D58" s="351"/>
      <c r="E58" s="351"/>
    </row>
    <row r="59" spans="1:5">
      <c r="A59" s="46">
        <v>3.1</v>
      </c>
      <c r="B59" s="9" t="s">
        <v>161</v>
      </c>
      <c r="C59" s="224" t="str">
        <f ca="1">IF('Account Statement'!B9="","",(TODAY()-'Account Statement'!B9)/365)</f>
        <v/>
      </c>
      <c r="D59" s="9"/>
      <c r="E59" s="9"/>
    </row>
    <row r="60" spans="1:5">
      <c r="A60" s="46">
        <v>3.2</v>
      </c>
      <c r="B60" s="9" t="s">
        <v>162</v>
      </c>
      <c r="C60" s="225" t="str">
        <f>IF('Account Statement'!B4="","",SUM('Account Statement'!B14:B26)/'Financial Statement'!B40)</f>
        <v/>
      </c>
      <c r="D60" s="9"/>
      <c r="E60" s="9"/>
    </row>
    <row r="61" spans="1:5">
      <c r="A61" s="49">
        <v>5</v>
      </c>
      <c r="B61" s="351" t="s">
        <v>163</v>
      </c>
      <c r="C61" s="351"/>
      <c r="D61" s="351"/>
      <c r="E61" s="351"/>
    </row>
    <row r="62" spans="1:5">
      <c r="A62" s="46"/>
      <c r="B62" s="9" t="s">
        <v>164</v>
      </c>
      <c r="C62" s="275" t="s">
        <v>42</v>
      </c>
      <c r="D62" s="9"/>
      <c r="E62" s="9"/>
    </row>
    <row r="63" spans="1:5">
      <c r="A63" s="46"/>
      <c r="B63" s="9" t="s">
        <v>165</v>
      </c>
      <c r="C63" s="275"/>
      <c r="D63" s="9"/>
      <c r="E63" s="9"/>
    </row>
    <row r="64" spans="1:5">
      <c r="A64" s="46"/>
      <c r="B64" s="9" t="s">
        <v>166</v>
      </c>
      <c r="C64" s="275"/>
      <c r="D64" s="9"/>
      <c r="E64" s="9"/>
    </row>
    <row r="65" spans="1:5">
      <c r="A65" s="49">
        <v>6</v>
      </c>
      <c r="B65" s="351" t="s">
        <v>167</v>
      </c>
      <c r="C65" s="351"/>
      <c r="D65" s="351"/>
      <c r="E65" s="351"/>
    </row>
    <row r="66" spans="1:5">
      <c r="A66" s="46"/>
      <c r="B66" s="9" t="s">
        <v>168</v>
      </c>
      <c r="C66" s="275"/>
      <c r="D66" s="9"/>
      <c r="E66" s="9"/>
    </row>
    <row r="67" spans="1:5">
      <c r="A67" s="46"/>
      <c r="B67" s="9" t="s">
        <v>169</v>
      </c>
      <c r="C67" s="279"/>
      <c r="D67" s="77"/>
      <c r="E67" s="9"/>
    </row>
    <row r="68" spans="1:5">
      <c r="A68" s="46"/>
      <c r="B68" s="9" t="s">
        <v>170</v>
      </c>
      <c r="C68" s="279"/>
      <c r="D68" s="77"/>
      <c r="E68" s="9"/>
    </row>
    <row r="69" spans="1:5">
      <c r="A69" s="46">
        <v>7</v>
      </c>
      <c r="B69" s="89" t="s">
        <v>405</v>
      </c>
      <c r="C69" s="89"/>
      <c r="D69" s="89"/>
      <c r="E69" s="89"/>
    </row>
    <row r="70" spans="1:5">
      <c r="A70" s="46"/>
      <c r="B70" s="9" t="s">
        <v>472</v>
      </c>
      <c r="C70" s="278"/>
      <c r="D70" s="35"/>
      <c r="E70" s="35"/>
    </row>
    <row r="71" spans="1:5">
      <c r="A71" s="46"/>
      <c r="B71" s="9" t="s">
        <v>407</v>
      </c>
      <c r="C71" s="279"/>
      <c r="D71" s="77"/>
      <c r="E71" s="9"/>
    </row>
    <row r="72" spans="1:5">
      <c r="A72" s="46"/>
      <c r="B72" s="9" t="s">
        <v>406</v>
      </c>
      <c r="C72" s="191" t="b">
        <f>IF(C70="Cost of Good Sold (Trend)",'WC - CGS'!C23,IF(C70="Cash Flow",'WC - Cash Flow'!C13))</f>
        <v>0</v>
      </c>
      <c r="D72" s="77"/>
      <c r="E72" s="9"/>
    </row>
    <row r="73" spans="1:5" hidden="1">
      <c r="A73" s="46"/>
      <c r="B73" s="149" t="s">
        <v>425</v>
      </c>
      <c r="C73" s="80">
        <f>IF(C72&lt;C7,C72,C7)</f>
        <v>0</v>
      </c>
      <c r="D73" s="77"/>
      <c r="E73" s="9"/>
    </row>
    <row r="74" spans="1:5">
      <c r="A74" s="49">
        <v>8</v>
      </c>
      <c r="B74" s="89" t="s">
        <v>175</v>
      </c>
      <c r="C74" s="193" t="str">
        <f>IF(SUM(Collateral!I4:I37)=0,"NO","YES")</f>
        <v>NO</v>
      </c>
      <c r="D74" s="89"/>
      <c r="E74" s="89"/>
    </row>
    <row r="75" spans="1:5" hidden="1">
      <c r="A75" s="46"/>
      <c r="B75" s="149" t="s">
        <v>176</v>
      </c>
      <c r="C75" s="194" t="str">
        <f>IF(C74="YES",Collateral!I39,"")</f>
        <v/>
      </c>
      <c r="D75" s="9"/>
      <c r="E75" s="9"/>
    </row>
    <row r="76" spans="1:5">
      <c r="A76" s="46"/>
      <c r="B76" s="9" t="s">
        <v>332</v>
      </c>
      <c r="C76" s="195" t="str">
        <f>IF(C74="YES",Collateral!I38,"")</f>
        <v/>
      </c>
      <c r="D76" s="9"/>
      <c r="E76" s="9"/>
    </row>
    <row r="77" spans="1:5">
      <c r="A77" s="46"/>
      <c r="B77" s="9" t="s">
        <v>419</v>
      </c>
      <c r="C77" s="196" t="str">
        <f>IF(C74="YES",C76/C7,"")</f>
        <v/>
      </c>
      <c r="D77" s="9"/>
      <c r="E77" s="9"/>
    </row>
    <row r="78" spans="1:5">
      <c r="A78" s="46"/>
      <c r="B78" s="9" t="s">
        <v>420</v>
      </c>
      <c r="C78" s="196" t="str">
        <f>IF(C74="YES",C76/C72,"")</f>
        <v/>
      </c>
      <c r="D78" s="9"/>
      <c r="E78" s="9"/>
    </row>
    <row r="79" spans="1:5">
      <c r="A79" s="46"/>
      <c r="B79" s="9" t="s">
        <v>426</v>
      </c>
      <c r="C79" s="188" t="str">
        <f>IF(C74="YES",C76/C73,"")</f>
        <v/>
      </c>
      <c r="D79" s="9"/>
      <c r="E79" s="9"/>
    </row>
    <row r="80" spans="1:5">
      <c r="B80" s="26"/>
      <c r="C80" s="26"/>
    </row>
    <row r="82" spans="3:4">
      <c r="C82" s="26" t="s">
        <v>423</v>
      </c>
      <c r="D82" s="26" t="s">
        <v>427</v>
      </c>
    </row>
    <row r="83" spans="3:4">
      <c r="C83" s="26" t="s">
        <v>429</v>
      </c>
      <c r="D83" s="26" t="s">
        <v>427</v>
      </c>
    </row>
  </sheetData>
  <sheetProtection algorithmName="SHA-512" hashValue="oEriMJ4K1T+D+ABxEAAiKxQCoLYCCCPqfwFkvuNBt2xv3CuQ00O9Tluv2SAJX3CaYL7oSzeCyLnK3JPU5HBQkg==" saltValue="Uob1DHoLMiBTeN0obVt8KQ==" spinCount="100000" sheet="1" formatCells="0" formatColumns="0" formatRows="0" insertColumns="0" insertRows="0" insertHyperlinks="0" deleteColumns="0" deleteRows="0" sort="0" autoFilter="0" pivotTables="0"/>
  <dataConsolidate/>
  <mergeCells count="7">
    <mergeCell ref="B65:E65"/>
    <mergeCell ref="B16:E16"/>
    <mergeCell ref="B61:E61"/>
    <mergeCell ref="B10:E10"/>
    <mergeCell ref="C2:E2"/>
    <mergeCell ref="B28:E28"/>
    <mergeCell ref="B58:E58"/>
  </mergeCells>
  <conditionalFormatting sqref="C4">
    <cfRule type="uniqueValues" dxfId="73" priority="85"/>
  </conditionalFormatting>
  <conditionalFormatting sqref="C5">
    <cfRule type="uniqueValues" dxfId="72" priority="84"/>
  </conditionalFormatting>
  <conditionalFormatting sqref="C6">
    <cfRule type="uniqueValues" dxfId="71" priority="83"/>
  </conditionalFormatting>
  <conditionalFormatting sqref="C7">
    <cfRule type="uniqueValues" dxfId="70" priority="82"/>
  </conditionalFormatting>
  <conditionalFormatting sqref="C8">
    <cfRule type="uniqueValues" dxfId="69" priority="81"/>
  </conditionalFormatting>
  <conditionalFormatting sqref="C12">
    <cfRule type="uniqueValues" dxfId="68" priority="80"/>
  </conditionalFormatting>
  <conditionalFormatting sqref="C13">
    <cfRule type="uniqueValues" dxfId="67" priority="79"/>
  </conditionalFormatting>
  <conditionalFormatting sqref="C14">
    <cfRule type="uniqueValues" dxfId="66" priority="78"/>
  </conditionalFormatting>
  <conditionalFormatting sqref="C29">
    <cfRule type="uniqueValues" dxfId="65" priority="77"/>
  </conditionalFormatting>
  <conditionalFormatting sqref="C36">
    <cfRule type="uniqueValues" dxfId="64" priority="76"/>
  </conditionalFormatting>
  <conditionalFormatting sqref="C37">
    <cfRule type="expression" dxfId="63" priority="25">
      <formula>AND($C$36="", $C$37="")</formula>
    </cfRule>
    <cfRule type="expression" dxfId="62" priority="46">
      <formula>AND($C$36="", $C$37&lt;&gt;"")</formula>
    </cfRule>
    <cfRule type="expression" dxfId="61" priority="47">
      <formula>AND($C$36="YES", $C$37&lt;&gt;"")</formula>
    </cfRule>
    <cfRule type="expression" dxfId="60" priority="48">
      <formula>AND($C$36="NO", $C$37="")</formula>
    </cfRule>
    <cfRule type="expression" dxfId="59" priority="49">
      <formula>AND($C$36="NO", $C$37&lt;&gt;"")</formula>
    </cfRule>
    <cfRule type="expression" dxfId="58" priority="50">
      <formula>AND($C$36="YES", $C$37="")</formula>
    </cfRule>
  </conditionalFormatting>
  <conditionalFormatting sqref="C40">
    <cfRule type="expression" dxfId="57" priority="42">
      <formula>AND($C$38="YES", $C$40="")</formula>
    </cfRule>
    <cfRule type="expression" dxfId="56" priority="43">
      <formula>AND($C$38="NO", $C$40&lt;&gt;"")</formula>
    </cfRule>
    <cfRule type="expression" dxfId="55" priority="44">
      <formula>AND($C$38="NO", $C$40="")</formula>
    </cfRule>
    <cfRule type="expression" dxfId="54" priority="45">
      <formula>AND($C$38="YES", $C$40&lt;&gt;"")</formula>
    </cfRule>
  </conditionalFormatting>
  <conditionalFormatting sqref="C44">
    <cfRule type="expression" dxfId="53" priority="38">
      <formula>AND($C$42="YES", $C$44&lt;&gt;"")</formula>
    </cfRule>
    <cfRule type="expression" dxfId="52" priority="39">
      <formula>AND($C$42="NO", $C$44="")</formula>
    </cfRule>
    <cfRule type="expression" dxfId="51" priority="40">
      <formula>AND($C$42="NO", $C$44&lt;&gt;"")</formula>
    </cfRule>
    <cfRule type="expression" dxfId="50" priority="41">
      <formula>AND($C$42="YES", $C$44="")</formula>
    </cfRule>
  </conditionalFormatting>
  <conditionalFormatting sqref="C46">
    <cfRule type="uniqueValues" dxfId="49" priority="72"/>
  </conditionalFormatting>
  <conditionalFormatting sqref="C47">
    <cfRule type="expression" dxfId="48" priority="26">
      <formula>AND($C$46="", $C$47="")</formula>
    </cfRule>
    <cfRule type="expression" dxfId="47" priority="33">
      <formula>AND($C$46="YES", $C$47="")</formula>
    </cfRule>
    <cfRule type="expression" dxfId="46" priority="34">
      <formula>AND($C$46="NO", $C$47&lt;&gt;"")</formula>
    </cfRule>
    <cfRule type="expression" dxfId="45" priority="35">
      <formula>AND($C$46="NO", $C$47="")</formula>
    </cfRule>
    <cfRule type="expression" dxfId="44" priority="36">
      <formula>AND($C$46="YES", $C$47&lt;&gt;"")</formula>
    </cfRule>
    <cfRule type="expression" dxfId="43" priority="37">
      <formula>AND($C$46="", $C$47&lt;&gt;"")</formula>
    </cfRule>
  </conditionalFormatting>
  <conditionalFormatting sqref="C48">
    <cfRule type="uniqueValues" dxfId="42" priority="71"/>
  </conditionalFormatting>
  <conditionalFormatting sqref="C49">
    <cfRule type="expression" dxfId="41" priority="27">
      <formula>AND($C$48="", $C$49="")</formula>
    </cfRule>
    <cfRule type="expression" dxfId="40" priority="28">
      <formula>AND($C$48="", $C$49&lt;&gt;"")</formula>
    </cfRule>
    <cfRule type="expression" dxfId="39" priority="29">
      <formula>AND($C$48="YES", $C$49&lt;&gt;"")</formula>
    </cfRule>
    <cfRule type="expression" dxfId="38" priority="30">
      <formula>AND($C$48="NO", $C$49="")</formula>
    </cfRule>
    <cfRule type="expression" dxfId="37" priority="31">
      <formula>AND($C$48="NO", $C$49&lt;&gt;"")</formula>
    </cfRule>
    <cfRule type="expression" dxfId="36" priority="32">
      <formula>AND($C$48="YES", $C$49="")</formula>
    </cfRule>
  </conditionalFormatting>
  <conditionalFormatting sqref="C50">
    <cfRule type="uniqueValues" dxfId="35" priority="70"/>
  </conditionalFormatting>
  <conditionalFormatting sqref="C51">
    <cfRule type="expression" dxfId="34" priority="19">
      <formula>AND($C$50="YES", $C$51="")</formula>
    </cfRule>
    <cfRule type="expression" dxfId="33" priority="20">
      <formula>AND($C$50="NO", $C$51&lt;&gt;"")</formula>
    </cfRule>
    <cfRule type="expression" dxfId="32" priority="21">
      <formula>AND($C$50="NO", $C$51="")</formula>
    </cfRule>
    <cfRule type="expression" dxfId="31" priority="22">
      <formula>AND($C$50="YES", $C$51&lt;&gt;"")</formula>
    </cfRule>
    <cfRule type="expression" dxfId="30" priority="23">
      <formula>AND($C$50="", $C$51&lt;&gt;"")</formula>
    </cfRule>
    <cfRule type="expression" dxfId="29" priority="24">
      <formula>AND($C$50="", $C$51="")</formula>
    </cfRule>
  </conditionalFormatting>
  <conditionalFormatting sqref="C52">
    <cfRule type="expression" dxfId="28" priority="13">
      <formula>AND($C$50="", $C$52="")</formula>
    </cfRule>
    <cfRule type="expression" dxfId="27" priority="14">
      <formula>AND($C$50="", $C$52&lt;&gt;"")</formula>
    </cfRule>
    <cfRule type="expression" dxfId="26" priority="15">
      <formula>AND($C$50="YES", $C$52&lt;&gt;"")</formula>
    </cfRule>
    <cfRule type="expression" dxfId="25" priority="16">
      <formula>AND($C$50="NO", $C$52="")</formula>
    </cfRule>
    <cfRule type="expression" dxfId="24" priority="17">
      <formula>AND($C$50="NO", $C$52&lt;&gt;"")</formula>
    </cfRule>
    <cfRule type="expression" dxfId="23" priority="18">
      <formula>AND($C$50="YES", $C$52="")</formula>
    </cfRule>
  </conditionalFormatting>
  <conditionalFormatting sqref="C53">
    <cfRule type="uniqueValues" dxfId="22" priority="69"/>
  </conditionalFormatting>
  <conditionalFormatting sqref="C54">
    <cfRule type="expression" dxfId="21" priority="7">
      <formula>AND($C$53="", $C$54="")</formula>
    </cfRule>
    <cfRule type="expression" dxfId="20" priority="8">
      <formula>AND($C$53="", $C$54&lt;&gt;"")</formula>
    </cfRule>
    <cfRule type="expression" dxfId="19" priority="9">
      <formula>AND($C$53="YES", $C$54&lt;&gt;"")</formula>
    </cfRule>
    <cfRule type="expression" dxfId="18" priority="10">
      <formula>AND($C$53="NO", $C$54="")</formula>
    </cfRule>
    <cfRule type="expression" dxfId="17" priority="11">
      <formula>AND($C$53="NO", $C$54&lt;&gt;"")</formula>
    </cfRule>
    <cfRule type="expression" dxfId="16" priority="12">
      <formula>AND($C$53="YES", $C$54="")</formula>
    </cfRule>
  </conditionalFormatting>
  <conditionalFormatting sqref="C55">
    <cfRule type="uniqueValues" dxfId="15" priority="68"/>
  </conditionalFormatting>
  <conditionalFormatting sqref="C56">
    <cfRule type="expression" dxfId="14" priority="1">
      <formula>AND($C$55="YES", $C$56="")</formula>
    </cfRule>
    <cfRule type="expression" dxfId="13" priority="2">
      <formula>AND($C$55="NO", $C$56&lt;&gt;"")</formula>
    </cfRule>
    <cfRule type="expression" dxfId="12" priority="3">
      <formula>AND($C$55="NO", $C$56="")</formula>
    </cfRule>
    <cfRule type="expression" dxfId="11" priority="4">
      <formula>AND($C$55="YES", $C$56&lt;&gt;"")</formula>
    </cfRule>
    <cfRule type="expression" dxfId="10" priority="5">
      <formula>AND($C$55="", $C$56&lt;&gt;"")</formula>
    </cfRule>
    <cfRule type="expression" dxfId="9" priority="6">
      <formula>AND($C$55="", $C$56="")</formula>
    </cfRule>
  </conditionalFormatting>
  <conditionalFormatting sqref="C62">
    <cfRule type="uniqueValues" dxfId="8" priority="67"/>
  </conditionalFormatting>
  <conditionalFormatting sqref="C63">
    <cfRule type="uniqueValues" dxfId="7" priority="66"/>
  </conditionalFormatting>
  <conditionalFormatting sqref="C64">
    <cfRule type="uniqueValues" dxfId="6" priority="65"/>
  </conditionalFormatting>
  <conditionalFormatting sqref="C66">
    <cfRule type="uniqueValues" dxfId="5" priority="64"/>
  </conditionalFormatting>
  <conditionalFormatting sqref="C67">
    <cfRule type="uniqueValues" dxfId="4" priority="63"/>
  </conditionalFormatting>
  <conditionalFormatting sqref="C68">
    <cfRule type="uniqueValues" dxfId="3" priority="62"/>
  </conditionalFormatting>
  <conditionalFormatting sqref="C70">
    <cfRule type="uniqueValues" dxfId="2" priority="61"/>
  </conditionalFormatting>
  <conditionalFormatting sqref="C71">
    <cfRule type="uniqueValues" dxfId="1" priority="60"/>
  </conditionalFormatting>
  <conditionalFormatting sqref="C2:E2">
    <cfRule type="uniqueValues" dxfId="0" priority="87"/>
  </conditionalFormatting>
  <dataValidations count="3">
    <dataValidation type="list" allowBlank="1" showInputMessage="1" showErrorMessage="1" sqref="C29 C36 C46 C48 C50 C53 C55">
      <formula1>"YES, NO"</formula1>
    </dataValidation>
    <dataValidation type="list" allowBlank="1" showInputMessage="1" showErrorMessage="1" sqref="D35">
      <formula1>"Pass, Special Mention, Substandard, Doubtful, Loss"</formula1>
    </dataValidation>
    <dataValidation type="list" allowBlank="1" showInputMessage="1" showErrorMessage="1" sqref="C70">
      <formula1>"Cost of Good Sold (Trend), Cash Flow"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>
          <x14:formula1>
            <xm:f>'Industry attractiveness 7'!$D$4:$D$6</xm:f>
          </x14:formula1>
          <xm:sqref>C12</xm:sqref>
        </x14:dataValidation>
        <x14:dataValidation type="list" allowBlank="1" showInputMessage="1" showErrorMessage="1">
          <x14:formula1>
            <xm:f>'Industry attractiveness 7'!$D$7:$D$10</xm:f>
          </x14:formula1>
          <xm:sqref>C13</xm:sqref>
        </x14:dataValidation>
        <x14:dataValidation type="list" allowBlank="1" showInputMessage="1" showErrorMessage="1">
          <x14:formula1>
            <xm:f>'Industry attractiveness 7'!$D$11:$D$14</xm:f>
          </x14:formula1>
          <xm:sqref>C14:C15</xm:sqref>
        </x14:dataValidation>
        <x14:dataValidation type="list" allowBlank="1" showInputMessage="1" showErrorMessage="1">
          <x14:formula1>
            <xm:f>'Credit History 29'!$E$26:$E$29</xm:f>
          </x14:formula1>
          <xm:sqref>C37</xm:sqref>
        </x14:dataValidation>
        <x14:dataValidation type="list" allowBlank="1" showInputMessage="1" showErrorMessage="1">
          <x14:formula1>
            <xm:f>'Credit History 29'!$E$31:$E$34</xm:f>
          </x14:formula1>
          <xm:sqref>C40</xm:sqref>
        </x14:dataValidation>
        <x14:dataValidation type="list" allowBlank="1" showInputMessage="1" showErrorMessage="1">
          <x14:formula1>
            <xm:f>'Credit History 29'!$E$52:$E$55</xm:f>
          </x14:formula1>
          <xm:sqref>C47</xm:sqref>
        </x14:dataValidation>
        <x14:dataValidation type="list" allowBlank="1" showInputMessage="1" showErrorMessage="1">
          <x14:formula1>
            <xm:f>'Credit History 29'!$E$57:$E$59</xm:f>
          </x14:formula1>
          <xm:sqref>C49</xm:sqref>
        </x14:dataValidation>
        <x14:dataValidation type="list" allowBlank="1" showInputMessage="1" showErrorMessage="1">
          <x14:formula1>
            <xm:f>'Credit History 29'!$E$21:$E$24</xm:f>
          </x14:formula1>
          <xm:sqref>C51</xm:sqref>
        </x14:dataValidation>
        <x14:dataValidation type="list" allowBlank="1" showInputMessage="1" showErrorMessage="1">
          <x14:formula1>
            <xm:f>'Character 5'!$C$5:$C$7</xm:f>
          </x14:formula1>
          <xm:sqref>C62</xm:sqref>
        </x14:dataValidation>
        <x14:dataValidation type="list" allowBlank="1" showInputMessage="1" showErrorMessage="1">
          <x14:formula1>
            <xm:f>'Character 5'!$C$8:$C$11</xm:f>
          </x14:formula1>
          <xm:sqref>C63</xm:sqref>
        </x14:dataValidation>
        <x14:dataValidation type="list" allowBlank="1" showInputMessage="1" showErrorMessage="1">
          <x14:formula1>
            <xm:f>'Character 5'!$C$12:$C$14</xm:f>
          </x14:formula1>
          <xm:sqref>C64</xm:sqref>
        </x14:dataValidation>
        <x14:dataValidation type="list" allowBlank="1" showInputMessage="1" showErrorMessage="1">
          <x14:formula1>
            <xm:f>'Management Capacity  9'!$D$5:$D$8</xm:f>
          </x14:formula1>
          <xm:sqref>C66</xm:sqref>
        </x14:dataValidation>
        <x14:dataValidation type="list" allowBlank="1" showInputMessage="1" showErrorMessage="1">
          <x14:formula1>
            <xm:f>'Management Capacity  9'!$D$9:$D$12</xm:f>
          </x14:formula1>
          <xm:sqref>C67</xm:sqref>
        </x14:dataValidation>
        <x14:dataValidation type="list" allowBlank="1" showInputMessage="1" showErrorMessage="1">
          <x14:formula1>
            <xm:f>'Management Capacity  9'!$D$13:$D$15</xm:f>
          </x14:formula1>
          <xm:sqref>C68</xm:sqref>
        </x14:dataValidation>
        <x14:dataValidation type="list" allowBlank="1" showInputMessage="1" showErrorMessage="1">
          <x14:formula1>
            <xm:f>'Credit History 29'!$E$41:$E$44</xm:f>
          </x14:formula1>
          <xm:sqref>C44</xm:sqref>
        </x14:dataValidation>
        <x14:dataValidation type="list" allowBlank="1" showInputMessage="1" showErrorMessage="1">
          <x14:formula1>
            <xm:f>'Credit History 29'!$E$61:$E$64</xm:f>
          </x14:formula1>
          <xm:sqref>C54</xm:sqref>
        </x14:dataValidation>
        <x14:dataValidation type="list" allowBlank="1" showInputMessage="1" showErrorMessage="1">
          <x14:formula1>
            <xm:f>'Credit History 29'!$E$66:$E$69</xm:f>
          </x14:formula1>
          <xm:sqref>C52</xm:sqref>
        </x14:dataValidation>
        <x14:dataValidation type="list" allowBlank="1" showInputMessage="1" showErrorMessage="1">
          <x14:formula1>
            <xm:f>'Credit History 29'!$E$71:$E$74</xm:f>
          </x14:formula1>
          <xm:sqref>C56</xm:sqref>
        </x14:dataValidation>
        <x14:dataValidation type="list" errorStyle="warning" allowBlank="1" errorTitle="This is Mandatory Field" error="This is Mandatory Field">
          <x14:formula1>
            <xm:f>'Financial 40'!$B$3:$M$3</xm:f>
          </x14:formula1>
          <xm:sqref>C4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H57"/>
  <sheetViews>
    <sheetView workbookViewId="0">
      <selection activeCell="H5" sqref="H5"/>
    </sheetView>
  </sheetViews>
  <sheetFormatPr defaultRowHeight="14.5"/>
  <cols>
    <col min="1" max="1" width="18.453125" customWidth="1"/>
    <col min="2" max="2" width="59.1796875" customWidth="1"/>
    <col min="3" max="3" width="8.81640625" customWidth="1"/>
    <col min="4" max="4" width="9.26953125" customWidth="1"/>
    <col min="5" max="5" width="4.26953125" hidden="1" customWidth="1"/>
    <col min="6" max="6" width="11.6328125" customWidth="1"/>
    <col min="7" max="7" width="12.54296875" bestFit="1" customWidth="1"/>
  </cols>
  <sheetData>
    <row r="1" spans="1:7" ht="50.5" customHeight="1">
      <c r="A1" s="391"/>
      <c r="B1" s="391"/>
      <c r="C1" s="391"/>
      <c r="D1" s="391"/>
      <c r="E1" s="391"/>
      <c r="F1" s="391"/>
    </row>
    <row r="2" spans="1:7" ht="23.5">
      <c r="A2" s="304" t="s">
        <v>428</v>
      </c>
      <c r="B2" s="304"/>
      <c r="C2" s="304"/>
      <c r="D2" s="304"/>
      <c r="E2" s="304"/>
      <c r="F2" s="304"/>
    </row>
    <row r="3" spans="1:7" ht="3" customHeight="1" thickBot="1"/>
    <row r="4" spans="1:7" ht="15" thickBot="1">
      <c r="A4" s="114" t="s">
        <v>256</v>
      </c>
      <c r="B4" s="114" t="s">
        <v>84</v>
      </c>
      <c r="C4" s="114" t="s">
        <v>257</v>
      </c>
      <c r="D4" s="114" t="s">
        <v>2</v>
      </c>
      <c r="E4" s="114"/>
      <c r="F4" s="148" t="s">
        <v>430</v>
      </c>
    </row>
    <row r="5" spans="1:7" ht="16" customHeight="1" thickBot="1">
      <c r="A5" s="388" t="s">
        <v>433</v>
      </c>
      <c r="B5" s="92" t="s">
        <v>461</v>
      </c>
      <c r="C5" s="173">
        <f>'Financial 40'!O5</f>
        <v>0.03</v>
      </c>
      <c r="D5" s="174" t="e">
        <f>IF(AND('Data Validation'!C4='Financial 40'!C3,'Financial Statement'!F55&gt;='Financial 40'!D5),'Financial 40'!O5,
IF(AND('Data Validation'!C4='Financial 40'!C3,'Financial Statement'!F55&lt;'Financial 40'!D6,'Financial Statement'!F55&gt;='Financial 40'!C6),'Financial 40'!O6,
IF(AND('Data Validation'!C4='Financial 40'!C3,'Financial Statement'!F55&lt;'Financial 40'!D7,'Financial Statement'!F55&gt;='Financial 40'!C7),'Financial 40'!O7,
IF(AND('Data Validation'!C4='Financial 40'!C3,'Financial Statement'!F55&lt;'Financial 40'!D8),'Financial 40'!O8,
IF(AND('Data Validation'!C4='Financial 40'!E3,'Financial Statement'!F55&gt;='Financial 40'!F5),'Financial 40'!O5,
IF(AND('Data Validation'!C4='Financial 40'!E3,'Financial Statement'!F55&lt;'Financial 40'!F6,'Financial Statement'!F55&gt;='Financial 40'!E6),'Financial 40'!O6,
IF(AND('Data Validation'!C4='Financial 40'!E3,'Financial Statement'!F55&lt;'Financial 40'!F7,'Financial Statement'!F55&gt;='Financial 40'!E7),'Financial 40'!O7,
IF(AND('Data Validation'!C4='Financial 40'!E3,'Financial Statement'!F55&lt;'Financial 40'!F8),'Financial 40'!O8,
IF(AND('Data Validation'!C4='Financial 40'!G3,'Financial Statement'!F55&gt;='Financial 40'!H5),'Financial 40'!O5,
IF(AND('Data Validation'!C4='Financial 40'!G3,'Financial Statement'!F55&lt;'Financial 40'!H6,'Financial Statement'!F55&gt;='Financial 40'!G6),'Financial 40'!O6,
IF(AND('Data Validation'!C4='Financial 40'!G3,'Financial Statement'!F55&lt;'Financial 40'!H7,'Financial Statement'!F55&gt;='Financial 40'!G7),'Financial 40'!O7,
IF(AND('Data Validation'!C4='Financial 40'!G3,'Financial Statement'!F55&lt;'Financial 40'!H8),'Financial 40'!O8,
IF(AND('Data Validation'!C4='Financial 40'!I3,'Financial Statement'!F55&gt;='Financial 40'!J5),'Financial 40'!O5,
IF(AND('Data Validation'!C4='Financial 40'!I3,'Financial Statement'!F55&lt;'Financial 40'!J6,'Financial Statement'!F55&gt;='Financial 40'!I6),'Financial 40'!O6,
IF(AND('Data Validation'!C4='Financial 40'!I3,'Financial Statement'!F55&lt;'Financial 40'!J7,'Financial Statement'!F55&gt;='Financial 40'!I7),'Financial 40'!O7,
IF(AND('Data Validation'!C4='Financial 40'!I3,'Financial Statement'!F55&lt;'Financial 40'!J8),'Financial 40'!O8,
IF(AND('Data Validation'!C4='Financial 40'!K3,'Financial Statement'!F55&gt;='Financial 40'!L5),'Financial 40'!O5,
IF(AND('Data Validation'!C4='Financial 40'!K3,'Financial Statement'!F55&lt;'Financial 40'!L6,'Financial Statement'!F55&gt;='Financial 40'!K6),'Financial 40'!O6,
IF(AND('Data Validation'!C4='Financial 40'!K3,'Financial Statement'!F55&lt;'Financial 40'!L7,'Financial Statement'!F55&gt;='Financial 40'!K7),'Financial 40'!O7,
IF(AND('Data Validation'!C4='Financial 40'!K3,'Financial Statement'!F55&lt;'Financial 40'!L8),'Financial 40'!O8,
IF(AND('Data Validation'!C4='Financial 40'!M3,'Financial Statement'!F55&gt;='Financial 40'!N5),'Financial 40'!O5,
IF(AND('Data Validation'!C4='Financial 40'!M3,'Financial Statement'!F55&lt;'Financial 40'!N6,'Financial Statement'!F55&gt;='Financial 40'!M6),'Financial 40'!O6,
IF(AND('Data Validation'!C4='Financial 40'!M3,'Financial Statement'!F55&lt;'Financial 40'!N7,'Financial Statement'!F55&gt;='Financial 40'!M7),'Financial 40'!O7,
IF(AND('Data Validation'!C4='Financial 40'!M3,'Financial Statement'!F55&lt;'Financial 40'!N8),'Financial 40'!O8))))))))))))))))))))))))</f>
        <v>#DIV/0!</v>
      </c>
      <c r="E5" s="93"/>
      <c r="F5" s="385" t="e">
        <f>SUM(D5:D15)</f>
        <v>#DIV/0!</v>
      </c>
      <c r="G5" s="82"/>
    </row>
    <row r="6" spans="1:7" ht="16" customHeight="1" thickBot="1">
      <c r="A6" s="389"/>
      <c r="B6" s="92" t="s">
        <v>248</v>
      </c>
      <c r="C6" s="173">
        <f>'Financial 40'!O9</f>
        <v>0.06</v>
      </c>
      <c r="D6" s="174" t="e">
        <f>IF(AND('Data Validation'!C4='Financial 40'!C3,'Financial Statement'!B63&lt;='Financial 40'!D9),'Financial 40'!O9,
IF(AND('Data Validation'!C4='Financial 40'!C3,'Financial Statement'!B63&gt;'Financial 40'!D10,'Financial Statement'!B63&lt;='Financial 40'!C10),'Financial 40'!O10,
IF(AND('Data Validation'!C4='Financial 40'!C3,'Financial Statement'!B63&gt;'Financial 40'!D11,'Financial Statement'!B63&lt;='Financial 40'!C11),'Financial 40'!O11,
IF(AND('Data Validation'!C4='Financial 40'!C3,'Financial Statement'!B63&gt;'Financial 40'!D12),'Financial 40'!O12,
IF(AND('Data Validation'!C4='Financial 40'!E3,'Financial Statement'!B63&lt;='Financial 40'!F9),'Financial 40'!O9,
IF(AND('Data Validation'!C4='Financial 40'!E3,'Financial Statement'!B63&gt;'Financial 40'!F10,'Financial Statement'!B63&lt;='Financial 40'!E10),'Financial 40'!O10,
IF(AND('Data Validation'!C4='Financial 40'!E3,'Financial Statement'!B63&gt;'Financial 40'!F11,'Financial Statement'!B63&lt;='Financial 40'!E11),'Financial 40'!O11,
IF(AND('Data Validation'!C4='Financial 40'!E3,'Financial Statement'!B63&gt;'Financial 40'!F12),'Financial 40'!O12,
IF(AND('Data Validation'!C4='Financial 40'!G3,'Financial Statement'!B63&lt;='Financial 40'!H9),'Financial 40'!O9,
IF(AND('Data Validation'!C4='Financial 40'!G3,'Financial Statement'!B63&gt;'Financial 40'!H10,'Financial Statement'!B63&lt;='Financial 40'!G10),'Financial 40'!O10,
IF(AND('Data Validation'!C4='Financial 40'!G3,'Financial Statement'!B63&gt;'Financial 40'!H11,'Financial Statement'!B63&lt;='Financial 40'!G11),'Financial 40'!O11,
IF(AND('Data Validation'!C4='Financial 40'!G3,'Financial Statement'!B63&gt;'Financial 40'!H12),'Financial 40'!O12,
IF(AND('Data Validation'!C4='Financial 40'!I3,'Financial Statement'!B63&lt;='Financial 40'!J9),'Financial 40'!O9,
IF(AND('Data Validation'!C4='Financial 40'!I3,'Financial Statement'!B63&gt;'Financial 40'!J10,'Financial Statement'!B63&lt;='Financial 40'!I10),'Financial 40'!O10,
IF(AND('Data Validation'!C4='Financial 40'!I3,'Financial Statement'!B63&gt;'Financial 40'!J11,'Financial Statement'!B63&lt;='Financial 40'!I11),'Financial 40'!O11,
IF(AND('Data Validation'!C4='Financial 40'!I3,'Financial Statement'!B63&gt;'Financial 40'!J12),'Financial 40'!O12,
IF(AND('Data Validation'!C4='Financial 40'!K3,'Financial Statement'!B63&lt;='Financial 40'!L9),'Financial 40'!O9,
IF(AND('Data Validation'!C4='Financial 40'!K3,'Financial Statement'!B63&gt;'Financial 40'!L10,'Financial Statement'!B63&lt;='Financial 40'!K10),'Financial 40'!O10,
IF(AND('Data Validation'!C4='Financial 40'!K3,'Financial Statement'!B63&gt;'Financial 40'!L11,'Financial Statement'!B63&lt;='Financial 40'!K11),'Financial 40'!O11,
IF(AND('Data Validation'!C4='Financial 40'!K3,'Financial Statement'!B63&gt;'Financial 40'!L12),'Financial 40'!O12,
IF(AND('Data Validation'!C4='Financial 40'!M3,'Financial Statement'!B63&lt;='Financial 40'!N9),'Financial 40'!O9,
IF(AND('Data Validation'!C4='Financial 40'!M3,'Financial Statement'!B63&gt;'Financial 40'!N10,'Financial Statement'!B63&lt;='Financial 40'!M10),'Financial 40'!O10,
IF(AND('Data Validation'!C4='Financial 40'!M3,'Financial Statement'!B63&gt;'Financial 40'!N11,'Financial Statement'!B63&lt;='Financial 40'!M11),'Financial 40'!O11,
IF(AND('Data Validation'!C4='Financial 40'!M3,'Financial Statement'!B63&gt;'Financial 40'!N12),'Financial 40'!O12))))))))))))))))))))))))</f>
        <v>#DIV/0!</v>
      </c>
      <c r="E6" s="93"/>
      <c r="F6" s="386"/>
      <c r="G6" s="82"/>
    </row>
    <row r="7" spans="1:7" ht="16" customHeight="1" thickBot="1">
      <c r="A7" s="389"/>
      <c r="B7" s="92" t="s">
        <v>249</v>
      </c>
      <c r="C7" s="173">
        <f>'Financial 40'!O13</f>
        <v>0.05</v>
      </c>
      <c r="D7" s="174">
        <f>IF('Financial Statement'!B21=0,5%,
IF(AND('Data Validation'!C4='Financial 40'!C3,'Financial Statement'!B60&lt;='Financial 40'!D13),'Financial 40'!O13,
IF(AND('Data Validation'!C4='Financial 40'!C3,'Financial Statement'!B60&gt;'Financial 40'!D14,'Financial Statement'!B60&lt;='Financial 40'!C14),'Financial 40'!O14,
IF(AND('Data Validation'!C4='Financial 40'!C3,'Financial Statement'!B60&gt;'Financial 40'!D15,'Financial Statement'!B60&lt;='Financial 40'!C15),'Financial 40'!O15,
IF(AND('Data Validation'!C4='Financial 40'!C3,'Financial Statement'!B60&gt;'Financial 40'!D16,'Financial Statement'!B60&lt;='Financial 40'!C16),'Financial 40'!O16,
IF(AND('Data Validation'!C4='Financial 40'!C3,'Financial Statement'!B60&gt;'Financial 40'!D17),'Financial 40'!O17,
IF(AND('Data Validation'!C4='Financial 40'!E3,'Financial Statement'!B60&lt;='Financial 40'!F13),'Financial 40'!O13,
IF(AND('Data Validation'!C4='Financial 40'!E3,'Financial Statement'!B60&gt;'Financial 40'!F14,'Financial Statement'!B60&lt;='Financial 40'!E14),'Financial 40'!O14,
IF(AND('Data Validation'!C4='Financial 40'!E3,'Financial Statement'!B60&gt;'Financial 40'!F15,'Financial Statement'!B60&lt;='Financial 40'!E15),'Financial 40'!O15,
IF(AND('Data Validation'!C4='Financial 40'!E3,'Financial Statement'!B60&gt;'Financial 40'!F16,'Financial Statement'!B60&lt;='Financial 40'!E16),'Financial 40'!O16,
IF(AND('Data Validation'!C4='Financial 40'!E3,'Financial Statement'!B60&gt;'Financial 40'!F17),'Financial 40'!O17,
IF(AND('Data Validation'!C4='Financial 40'!G3,'Financial Statement'!B60&lt;='Financial 40'!H13),'Financial 40'!O13,
IF(AND('Data Validation'!C4='Financial 40'!G3,'Financial Statement'!B60&gt;'Financial 40'!H14,'Financial Statement'!B60&lt;='Financial 40'!G14),'Financial 40'!O14,
IF(AND('Data Validation'!C4='Financial 40'!G3,'Financial Statement'!B60&gt;'Financial 40'!H15,'Financial Statement'!B60&lt;='Financial 40'!G15),'Financial 40'!O15,
IF(AND('Data Validation'!C4='Financial 40'!G3,'Financial Statement'!B60&gt;'Financial 40'!H16,'Financial Statement'!B60&lt;='Financial 40'!G16),'Financial 40'!O16,
IF(AND('Data Validation'!C4='Financial 40'!G3,'Financial Statement'!B60&gt;'Financial 40'!H17),'Financial 40'!O17,
IF(AND('Data Validation'!C4='Financial 40'!I3,'Financial Statement'!B60&lt;='Financial 40'!J13),'Financial 40'!O13,
IF(AND('Data Validation'!C4='Financial 40'!I3,'Financial Statement'!B60&gt;'Financial 40'!J14,'Financial Statement'!B60&lt;='Financial 40'!I14),'Financial 40'!O14,
IF(AND('Data Validation'!C4='Financial 40'!I3,'Financial Statement'!B60&gt;'Financial 40'!J15,'Financial Statement'!B60&lt;='Financial 40'!I15),'Financial 40'!O15,
IF(AND('Data Validation'!C4='Financial 40'!I3,'Financial Statement'!B60&gt;'Financial 40'!J16,'Financial Statement'!B60&lt;='Financial 40'!I16),'Financial 40'!O16,
IF(AND('Data Validation'!C4='Financial 40'!I3,'Financial Statement'!B60&gt;'Financial 40'!J17),'Financial 40'!O17,
IF(AND('Data Validation'!C4='Financial 40'!K3,'Financial Statement'!B60&lt;='Financial 40'!L13),'Financial 40'!O13,
IF(AND('Data Validation'!C4='Financial 40'!K3,'Financial Statement'!B60&gt;'Financial 40'!L14,'Financial Statement'!B60&lt;='Financial 40'!K14),'Financial 40'!O14,
IF(AND('Data Validation'!C4='Financial 40'!K3,'Financial Statement'!B60&gt;'Financial 40'!L15,'Financial Statement'!B60&lt;='Financial 40'!K15),'Financial 40'!O15,
IF(AND('Data Validation'!C4='Financial 40'!K3,'Financial Statement'!B60&gt;'Financial 40'!L16,'Financial Statement'!B60&lt;='Financial 40'!K16),'Financial 40'!O16,
IF(AND('Data Validation'!C4='Financial 40'!K3,'Financial Statement'!B60&gt;'Financial 40'!L17),'Financial 40'!O17,
IF(AND('Data Validation'!C4='Financial 40'!M3,'Financial Statement'!B60&lt;='Financial 40'!N13),'Financial 40'!O13,
IF(AND('Data Validation'!C4='Financial 40'!M3,'Financial Statement'!B60&gt;'Financial 40'!N14,'Financial Statement'!B60&lt;='Financial 40'!M14),'Financial 40'!O14,
IF(AND('Data Validation'!C4='Financial 40'!M3,'Financial Statement'!B60&gt;'Financial 40'!N15,'Financial Statement'!B60&lt;='Financial 40'!M15),'Financial 40'!O15,
IF(AND('Data Validation'!C4='Financial 40'!M3,'Financial Statement'!B60&gt;'Financial 40'!N16,'Financial Statement'!B60&lt;='Financial 40'!M16),'Financial 40'!O16,
IF(AND('Data Validation'!C4='Financial 40'!M3,'Financial Statement'!B60&gt;'Financial 40'!N17),'Financial 40'!O17)))))))))))))))))))))))))))))))</f>
        <v>0.05</v>
      </c>
      <c r="E7" s="94"/>
      <c r="F7" s="386"/>
    </row>
    <row r="8" spans="1:7" ht="16" customHeight="1" thickBot="1">
      <c r="A8" s="389"/>
      <c r="B8" s="92" t="s">
        <v>250</v>
      </c>
      <c r="C8" s="173">
        <f>'Financial 40'!O19</f>
        <v>0.03</v>
      </c>
      <c r="D8" s="174" t="e">
        <f>IF(AND('Data Validation'!C4='Financial 40'!C3,'Financial Statement'!B66&gt;='Financial 40'!D19),'Financial 40'!O19,
IF(AND('Data Validation'!C4='Financial 40'!C3,'Financial Statement'!B66&lt;'Financial 40'!D20,'Financial Statement'!B66&gt;='Financial 40'!C20),'Financial 40'!O20,
IF(AND('Data Validation'!C4='Financial 40'!C3,'Financial Statement'!B66&lt;'Financial 40'!D21,'Financial Statement'!B66&gt;='Financial 40'!C21),'Financial 40'!O21,
IF(AND('Data Validation'!C4='Financial 40'!C3,'Financial Statement'!B66&lt;'Financial 40'!D22,'Financial Statement'!B66&gt;='Financial 40'!C22),'Financial 40'!O22,
IF(AND('Data Validation'!C4='Financial 40'!C3,'Financial Statement'!B66&lt;'Financial 40'!D23,'Financial Statement'!B66&gt;='Financial 40'!C23),'Financial 40'!O23,
IF(AND('Data Validation'!C4='Financial 40'!C3,'Financial Statement'!B66&lt;'Financial 40'!D24),'Financial 40'!O24,
IF(AND('Data Validation'!C4='Financial 40'!E3,'Financial Statement'!B66&gt;='Financial 40'!F19),'Financial 40'!O19,
IF(AND('Data Validation'!C4='Financial 40'!E3,'Financial Statement'!B66&lt;'Financial 40'!F20,'Financial Statement'!B66&gt;='Financial 40'!E20),'Financial 40'!O20,
IF(AND('Data Validation'!C4='Financial 40'!E3,'Financial Statement'!B66&lt;'Financial 40'!F21,'Financial Statement'!B66&gt;='Financial 40'!E21),'Financial 40'!O21,
IF(AND('Data Validation'!C4='Financial 40'!E3,'Financial Statement'!B66&lt;'Financial 40'!F22,'Financial Statement'!B66&gt;='Financial 40'!E22),'Financial 40'!O22,
IF(AND('Data Validation'!C4='Financial 40'!E3,'Financial Statement'!B66&lt;'Financial 40'!F23,'Financial Statement'!B66&gt;='Financial 40'!E23),'Financial 40'!O23,
IF(AND('Data Validation'!C4='Financial 40'!E3,'Financial Statement'!B66&lt;'Financial 40'!F24),'Financial 40'!O24,
IF(AND('Data Validation'!C4='Financial 40'!G3,'Financial Statement'!B66&gt;='Financial 40'!H19),'Financial 40'!O19,
IF(AND('Data Validation'!C4='Financial 40'!G3,'Financial Statement'!B66&lt;'Financial 40'!H20,'Financial Statement'!B66&gt;='Financial 40'!G20),'Financial 40'!O20,
IF(AND('Data Validation'!C4='Financial 40'!G3,'Financial Statement'!B66&lt;'Financial 40'!H21,'Financial Statement'!B66&gt;='Financial 40'!G21),'Financial 40'!O21,
IF(AND('Data Validation'!C4='Financial 40'!G3,'Financial Statement'!B66&lt;'Financial 40'!H22,'Financial Statement'!B66&gt;='Financial 40'!G22),'Financial 40'!O22,
IF(AND('Data Validation'!C4='Financial 40'!G3,'Financial Statement'!B66&lt;'Financial 40'!H23,'Financial Statement'!B66&gt;='Financial 40'!G23),'Financial 40'!O23,
IF(AND('Data Validation'!C4='Financial 40'!G3,'Financial Statement'!B66&lt;'Financial 40'!H24),'Financial 40'!O24,
IF(AND('Data Validation'!C4='Financial 40'!I3,'Financial Statement'!B66&gt;='Financial 40'!J19),'Financial 40'!O19,
IF(AND('Data Validation'!C4='Financial 40'!I3,'Financial Statement'!B66&lt;'Financial 40'!J20,'Financial Statement'!B66&gt;='Financial 40'!I20),'Financial 40'!O20,
IF(AND('Data Validation'!C4='Financial 40'!I3,'Financial Statement'!B66&lt;'Financial 40'!J21,'Financial Statement'!B66&gt;='Financial 40'!I21),'Financial 40'!O21,
IF(AND('Data Validation'!C4='Financial 40'!I3,'Financial Statement'!B66&lt;'Financial 40'!J22,'Financial Statement'!B66&gt;='Financial 40'!I22),'Financial 40'!O22,
IF(AND('Data Validation'!C4='Financial 40'!I3,'Financial Statement'!B66&lt;'Financial 40'!J23,'Financial Statement'!B66&gt;='Financial 40'!I23),'Financial 40'!O23,
IF(AND('Data Validation'!C4='Financial 40'!I3,'Financial Statement'!B66&lt;'Financial 40'!J24),'Financial 40'!O24,
IF(AND('Data Validation'!C4='Financial 40'!K3,'Financial Statement'!B66&gt;='Financial 40'!L19),'Financial 40'!O19,
IF(AND('Data Validation'!C4='Financial 40'!K3,'Financial Statement'!B66&lt;'Financial 40'!L20,'Financial Statement'!B66&gt;='Financial 40'!K20),'Financial 40'!O20,
IF(AND('Data Validation'!C4='Financial 40'!K3,'Financial Statement'!B66&lt;'Financial 40'!L21,'Financial Statement'!B66&gt;='Financial 40'!K21),'Financial 40'!O21,
IF(AND('Data Validation'!C4='Financial 40'!K3,'Financial Statement'!B66&lt;'Financial 40'!L22,'Financial Statement'!B66&gt;='Financial 40'!K22),'Financial 40'!O22,
IF(AND('Data Validation'!C4='Financial 40'!K3,'Financial Statement'!B66&lt;'Financial 40'!L23,'Financial Statement'!B66&gt;='Financial 40'!K23),'Financial 40'!O23,
IF(AND('Data Validation'!C4='Financial 40'!K3,'Financial Statement'!B66&lt;'Financial 40'!L24),'Financial 40'!O24,
IF(AND('Data Validation'!C4='Financial 40'!M3,'Financial Statement'!B66&gt;='Financial 40'!N19),'Financial 40'!O19,
IF(AND('Data Validation'!C4='Financial 40'!M3,'Financial Statement'!B66&lt;'Financial 40'!N20,'Financial Statement'!B66&gt;='Financial 40'!M20),'Financial 40'!O20,
IF(AND('Data Validation'!C4='Financial 40'!M3,'Financial Statement'!B66&lt;'Financial 40'!N21,'Financial Statement'!B66&gt;='Financial 40'!M21),'Financial 40'!O21,
IF(AND('Data Validation'!C4='Financial 40'!M3,'Financial Statement'!B66&lt;'Financial 40'!N22,'Financial Statement'!B66&gt;='Financial 40'!M22),'Financial 40'!O22,
IF(AND('Data Validation'!C4='Financial 40'!M3,'Financial Statement'!B66&lt;'Financial 40'!N23,'Financial Statement'!B66&gt;='Financial 40'!M23),'Financial 40'!O23,
IF(AND('Data Validation'!C4='Financial 40'!M3,'Financial Statement'!B66&lt;'Financial 40'!N24),'Financial 40'!O24))))))))))))))))))))))))))))))))))))</f>
        <v>#DIV/0!</v>
      </c>
      <c r="E8" s="94"/>
      <c r="F8" s="386"/>
    </row>
    <row r="9" spans="1:7" ht="16" customHeight="1" thickBot="1">
      <c r="A9" s="389"/>
      <c r="B9" s="92" t="s">
        <v>251</v>
      </c>
      <c r="C9" s="173">
        <f>'Financial 40'!O25</f>
        <v>0.05</v>
      </c>
      <c r="D9" s="174" t="e">
        <f>IF(AND('Data Validation'!C4='Financial 40'!C3,'Financial Statement'!B69&gt;='Financial 40'!D25),'Financial 40'!O25,
IF(AND('Data Validation'!C4='Financial 40'!C3,'Financial Statement'!B69&lt;'Financial 40'!D26,'Financial Statement'!B69&gt;='Financial 40'!C26),'Financial 40'!O26,
IF(AND('Data Validation'!C4='Financial 40'!C3,'Financial Statement'!B69&lt;'Financial 40'!D27,'Financial Statement'!B69&gt;='Financial 40'!C27),'Financial 40'!O27,
IF(AND('Data Validation'!C4='Financial 40'!C3,'Financial Statement'!B69&lt;'Financial 40'!D28,'Financial Statement'!B69&gt;='Financial 40'!C28),'Financial 40'!O28,
IF(AND('Data Validation'!C4='Financial 40'!C3,'Financial Statement'!B69&lt;'Financial 40'!D29),'Financial 40'!O29,
IF(AND('Data Validation'!C4='Financial 40'!E3,'Financial Statement'!B69&gt;='Financial 40'!F25),'Financial 40'!O25,
IF(AND('Data Validation'!C4='Financial 40'!E3,'Financial Statement'!B69&lt;'Financial 40'!F26,'Financial Statement'!B69&gt;='Financial 40'!E26),'Financial 40'!O26,
IF(AND('Data Validation'!C4='Financial 40'!E3,'Financial Statement'!B69&lt;'Financial 40'!F27,'Financial Statement'!B69&gt;='Financial 40'!E27),'Financial 40'!O27,
IF(AND('Data Validation'!C4='Financial 40'!E3,'Financial Statement'!B69&lt;'Financial 40'!F28,'Financial Statement'!B69&gt;='Financial 40'!E28),'Financial 40'!O28,
IF(AND('Data Validation'!C4='Financial 40'!E3,'Financial Statement'!B69&lt;'Financial 40'!F29),'Financial 40'!O29,
IF(AND('Data Validation'!C4='Financial 40'!G3,'Financial Statement'!B69&gt;='Financial 40'!H25),'Financial 40'!O25,
IF(AND('Data Validation'!C4='Financial 40'!G3,'Financial Statement'!B69&lt;'Financial 40'!H26,'Financial Statement'!B69&gt;='Financial 40'!G26),'Financial 40'!O26,
IF(AND('Data Validation'!C4='Financial 40'!G3,'Financial Statement'!B69&lt;'Financial 40'!H27,'Financial Statement'!B69&gt;='Financial 40'!G27),'Financial 40'!O27,
IF(AND('Data Validation'!C4='Financial 40'!G3,'Financial Statement'!B69&lt;'Financial 40'!H28,'Financial Statement'!B69&gt;='Financial 40'!G28),'Financial 40'!O28,
IF(AND('Data Validation'!C4='Financial 40'!G3,'Financial Statement'!B69&lt;'Financial 40'!H29),'Financial 40'!O29,
IF(AND('Data Validation'!C4='Financial 40'!I3,'Financial Statement'!B69&gt;='Financial 40'!J25),'Financial 40'!O25,
IF(AND('Data Validation'!C4='Financial 40'!I3,'Financial Statement'!B69&lt;'Financial 40'!J26,'Financial Statement'!B69&gt;='Financial 40'!I26),'Financial 40'!O26,
IF(AND('Data Validation'!C4='Financial 40'!I3,'Financial Statement'!B69&lt;'Financial 40'!J27,'Financial Statement'!B69&gt;='Financial 40'!I27),'Financial 40'!O27,
IF(AND('Data Validation'!C4='Financial 40'!I3,'Financial Statement'!B69&lt;'Financial 40'!J28,'Financial Statement'!B69&gt;='Financial 40'!I28),'Financial 40'!O28,
IF(AND('Data Validation'!C4='Financial 40'!I3,'Financial Statement'!B69&lt;'Financial 40'!J29),'Financial 40'!O29,
IF(AND('Data Validation'!C4='Financial 40'!K3,'Financial Statement'!B69&gt;='Financial 40'!L25),'Financial 40'!O25,
IF(AND('Data Validation'!C4='Financial 40'!K3,'Financial Statement'!B69&lt;'Financial 40'!L26,'Financial Statement'!B69&gt;='Financial 40'!K26),'Financial 40'!O26,
IF(AND('Data Validation'!C4='Financial 40'!K3,'Financial Statement'!B69&lt;'Financial 40'!L27,'Financial Statement'!B69&gt;='Financial 40'!K27),'Financial 40'!O27,
IF(AND('Data Validation'!C4='Financial 40'!K3,'Financial Statement'!B69&lt;'Financial 40'!L28,'Financial Statement'!B69&gt;='Financial 40'!K28),'Financial 40'!O28,
IF(AND('Data Validation'!C4='Financial 40'!K3,'Financial Statement'!B69&lt;'Financial 40'!L29),'Financial 40'!O29,
IF(AND('Data Validation'!C4='Financial 40'!M3,'Financial Statement'!B69&gt;='Financial 40'!N25),'Financial 40'!O25,
IF(AND('Data Validation'!C4='Financial 40'!M3,'Financial Statement'!B69&lt;'Financial 40'!N26,'Financial Statement'!B69&gt;='Financial 40'!M26),'Financial 40'!O26,
IF(AND('Data Validation'!C4='Financial 40'!M3,'Financial Statement'!B69&lt;'Financial 40'!N27,'Financial Statement'!B69&gt;='Financial 40'!M27),'Financial 40'!O27,
IF(AND('Data Validation'!C4='Financial 40'!M3,'Financial Statement'!B69&lt;'Financial 40'!N28,'Financial Statement'!B69&gt;='Financial 40'!M28),'Financial 40'!O28,
IF(AND('Data Validation'!C4='Financial 40'!M3,'Financial Statement'!B69&lt;'Financial 40'!N29),'Financial 40'!O29))))))))))))))))))))))))))))))</f>
        <v>#DIV/0!</v>
      </c>
      <c r="E9" s="94"/>
      <c r="F9" s="386"/>
    </row>
    <row r="10" spans="1:7" ht="16" customHeight="1" thickBot="1">
      <c r="A10" s="389"/>
      <c r="B10" s="92" t="s">
        <v>252</v>
      </c>
      <c r="C10" s="173">
        <f>'Financial 40'!O30</f>
        <v>0.03</v>
      </c>
      <c r="D10" s="174">
        <f>IF('Financial Statement'!B47="",1%,
IF(AND('Data Validation'!C4='Financial 40'!C3,'Financial Statement'!B68&gt;='Financial 40'!D30),'Financial 40'!O30,
IF(AND('Data Validation'!C4='Financial 40'!C3,'Financial Statement'!B68&lt;'Financial 40'!D31,'Financial Statement'!B68&gt;='Financial 40'!C31),'Financial 40'!O31,
IF(AND('Data Validation'!C4='Financial 40'!C3,'Financial Statement'!B68&lt;'Financial 40'!D32,'Financial Statement'!B68&gt;='Financial 40'!C32),'Financial 40'!O32,
IF(AND('Data Validation'!C4='Financial 40'!C3,'Financial Statement'!B68&lt;'Financial 40'!D33,'Financial Statement'!B68&gt;='Financial 40'!C33),'Financial 40'!O33,
IF(AND('Data Validation'!C4='Financial 40'!C3,'Financial Statement'!B68&lt;'Financial 40'!D34),'Financial 40'!O34,
IF(AND('Data Validation'!C4='Financial 40'!E3,'Financial Statement'!B68&gt;='Financial 40'!F30),'Financial 40'!O30,
IF(AND('Data Validation'!C4='Financial 40'!E3,'Financial Statement'!B68&lt;'Financial 40'!F31,'Financial Statement'!B68&gt;='Financial 40'!E31),'Financial 40'!O31,
IF(AND('Data Validation'!C4='Financial 40'!E3,'Financial Statement'!B68&lt;'Financial 40'!F32,'Financial Statement'!B68&gt;='Financial 40'!E32),'Financial 40'!O32,
IF(AND('Data Validation'!C4='Financial 40'!E3,'Financial Statement'!B68&lt;'Financial 40'!F33,'Financial Statement'!B68&gt;='Financial 40'!E33),'Financial 40'!O33,
IF(AND('Data Validation'!C4='Financial 40'!E3,'Financial Statement'!B68&lt;'Financial 40'!F34),'Financial 40'!O34,
IF(AND('Data Validation'!C4='Financial 40'!G3,'Financial Statement'!B68&gt;='Financial 40'!H30),'Financial 40'!O30,
IF(AND('Data Validation'!C4='Financial 40'!G3,'Financial Statement'!B68&lt;'Financial 40'!H31,'Financial Statement'!B68&gt;='Financial 40'!G31),'Financial 40'!O31,
IF(AND('Data Validation'!C4='Financial 40'!G3,'Financial Statement'!B68&lt;'Financial 40'!H32,'Financial Statement'!B68&gt;='Financial 40'!G32),'Financial 40'!O32,
IF(AND('Data Validation'!C4='Financial 40'!G3,'Financial Statement'!B68&lt;'Financial 40'!H33,'Financial Statement'!B68&gt;='Financial 40'!G33),'Financial 40'!O33,
IF(AND('Data Validation'!C4='Financial 40'!G3,'Financial Statement'!B68&lt;'Financial 40'!H34),'Financial 40'!O34,
IF(AND('Data Validation'!C4='Financial 40'!I3,'Financial Statement'!B68&gt;='Financial 40'!J30),'Financial 40'!O30,
IF(AND('Data Validation'!C4='Financial 40'!I3,'Financial Statement'!B68&lt;'Financial 40'!J31,'Financial Statement'!B68&gt;='Financial 40'!I31),'Financial 40'!O31,
IF(AND('Data Validation'!C4='Financial 40'!I3,'Financial Statement'!B68&lt;'Financial 40'!J32,'Financial Statement'!B68&gt;='Financial 40'!I32),'Financial 40'!O32,
IF(AND('Data Validation'!C4='Financial 40'!I3,'Financial Statement'!B68&lt;'Financial 40'!J33,'Financial Statement'!B68&gt;='Financial 40'!I33),'Financial 40'!O33,
IF(AND('Data Validation'!C4='Financial 40'!I3,'Financial Statement'!B68&lt;'Financial 40'!J34),'Financial 40'!O34,
IF(AND('Data Validation'!C4='Financial 40'!K3,'Financial Statement'!B68&gt;='Financial 40'!L30),'Financial 40'!O30,
IF(AND('Data Validation'!C4='Financial 40'!K3,'Financial Statement'!B68&lt;'Financial 40'!L31,'Financial Statement'!B68&gt;='Financial 40'!K31),'Financial 40'!O31,
IF(AND('Data Validation'!C4='Financial 40'!K3,'Financial Statement'!B68&lt;'Financial 40'!L32,'Financial Statement'!B68&gt;='Financial 40'!K32),'Financial 40'!O32,
IF(AND('Data Validation'!C4='Financial 40'!K3,'Financial Statement'!B68&lt;'Financial 40'!L33,'Financial Statement'!B68&gt;='Financial 40'!K33),'Financial 40'!O33,
IF(AND('Data Validation'!C4='Financial 40'!K3,'Financial Statement'!B68&lt;'Financial 40'!L34),'Financial 40'!O34,
IF(AND('Data Validation'!C4='Financial 40'!M3,'Financial Statement'!B68&gt;='Financial 40'!N30),'Financial 40'!O30,
IF(AND('Data Validation'!C4='Financial 40'!M3,'Financial Statement'!B68&lt;'Financial 40'!N31,'Financial Statement'!B68&gt;='Financial 40'!M31),'Financial 40'!O31,
IF(AND('Data Validation'!C4='Financial 40'!M3,'Financial Statement'!B68&lt;'Financial 40'!N32,'Financial Statement'!B68&gt;='Financial 40'!M32),'Financial 40'!O32,
IF(AND('Data Validation'!C4='Financial 40'!M3,'Financial Statement'!B68&lt;'Financial 40'!N33,'Financial Statement'!B68&gt;='Financial 40'!M33),'Financial 40'!O33,
IF(AND('Data Validation'!C4='Financial 40'!M3,'Financial Statement'!B68&lt;'Financial 40'!N34),'Financial 40'!O34)))))))))))))))))))))))))))))))</f>
        <v>0.01</v>
      </c>
      <c r="E10" s="94"/>
      <c r="F10" s="386"/>
    </row>
    <row r="11" spans="1:7" ht="16" thickBot="1">
      <c r="A11" s="389"/>
      <c r="B11" s="92" t="s">
        <v>253</v>
      </c>
      <c r="C11" s="173">
        <f>'Financial 40'!O35</f>
        <v>0.04</v>
      </c>
      <c r="D11" s="174">
        <f>IF('Financial Statement'!B10="",4%,
IF(AND('Data Validation'!C4='Financial 40'!C3,'Financial Statement'!B56&gt;='Financial 40'!D35),'Financial 40'!O35,
IF(AND('Data Validation'!C4='Financial 40'!C3,'Financial Statement'!B56&lt;'Financial 40'!D36,'Financial Statement'!B56&gt;='Financial 40'!C36),'Financial 40'!O36,
IF(AND('Data Validation'!C4='Financial 40'!C3,'Financial Statement'!B56&lt;'Financial 40'!D37,'Financial Statement'!B56&gt;='Financial 40'!C37),'Financial 40'!O37,
IF(AND('Data Validation'!C4='Financial 40'!C3,'Financial Statement'!B56&lt;'Financial 40'!D39),'Financial 40'!O39,
IF(AND('Data Validation'!C4='Financial 40'!E3,'Financial Statement'!B56&gt;='Financial 40'!F35),'Financial 40'!O35,
IF(AND('Data Validation'!C4='Financial 40'!E3,'Financial Statement'!B56&lt;'Financial 40'!F36,'Financial Statement'!B56&gt;='Financial 40'!E36),'Financial 40'!O36,
IF(AND('Data Validation'!C4='Financial 40'!E3,'Financial Statement'!B56&lt;'Financial 40'!F37,'Financial Statement'!B56&gt;='Financial 40'!E37),'Financial 40'!O37,
IF(AND('Data Validation'!C4='Financial 40'!E3,'Financial Statement'!B56&lt;'Financial 40'!F39),'Financial 40'!O39,
IF(AND('Data Validation'!C4='Financial 40'!G3,'Financial Statement'!B56&gt;='Financial 40'!H35),'Financial 40'!O35,
IF(AND('Data Validation'!C4='Financial 40'!G3,'Financial Statement'!B56&lt;'Financial 40'!H36,'Financial Statement'!B56&gt;='Financial 40'!G36),'Financial 40'!O36,
IF(AND('Data Validation'!C4='Financial 40'!G3,'Financial Statement'!B56&lt;'Financial 40'!H37,'Financial Statement'!B56&gt;='Financial 40'!G37),'Financial 40'!O37,
IF(AND('Data Validation'!C4='Financial 40'!G3,'Financial Statement'!B56&lt;'Financial 40'!H39),'Financial 40'!O39,
IF(AND('Data Validation'!C4='Financial 40'!I3,'Financial Statement'!B56&gt;='Financial 40'!J35),'Financial 40'!O35,
IF(AND('Data Validation'!C4='Financial 40'!I3,'Financial Statement'!B56&lt;'Financial 40'!J36,'Financial Statement'!B56&gt;='Financial 40'!I36),'Financial 40'!O36,
IF(AND('Data Validation'!C4='Financial 40'!I3,'Financial Statement'!B56&lt;'Financial 40'!J37,'Financial Statement'!B56&gt;='Financial 40'!I37),'Financial 40'!O37,
IF(AND('Data Validation'!C4='Financial 40'!I3,'Financial Statement'!B56&lt;'Financial 40'!J39),'Financial 40'!O39,
IF(AND('Data Validation'!C4='Financial 40'!K3,'Financial Statement'!B56&gt;='Financial 40'!L35),'Financial 40'!O35,
IF(AND('Data Validation'!C4='Financial 40'!K3,'Financial Statement'!B56&lt;'Financial 40'!L36,'Financial Statement'!B56&gt;='Financial 40'!K36),'Financial 40'!O36,
IF(AND('Data Validation'!C4='Financial 40'!K3,'Financial Statement'!B56&lt;'Financial 40'!L37,'Financial Statement'!B56&gt;='Financial 40'!K37),'Financial 40'!O37,
IF(AND('Data Validation'!C4='Financial 40'!K3,'Financial Statement'!B56&lt;'Financial 40'!L39),'Financial 40'!O39,
IF(AND('Data Validation'!C4='Financial 40'!M3,'Financial Statement'!B56&gt;='Financial 40'!N35),'Financial 40'!O35,
IF(AND('Data Validation'!C4='Financial 40'!M3,'Financial Statement'!B56&lt;'Financial 40'!N36,'Financial Statement'!B56&gt;='Financial 40'!M36),'Financial 40'!O36,
IF(AND('Data Validation'!C4='Financial 40'!M3,'Financial Statement'!B56&lt;'Financial 40'!N37,'Financial Statement'!B56&gt;='Financial 40'!M37),'Financial 40'!O37,
IF(AND('Data Validation'!C4='Financial 40'!M3,'Financial Statement'!B56&lt;'Financial 40'!N39),'Financial 40'!O39)))))))))))))))))))))))))</f>
        <v>0.04</v>
      </c>
      <c r="E11" s="94"/>
      <c r="F11" s="386"/>
      <c r="G11" s="83"/>
    </row>
    <row r="12" spans="1:7" ht="15" customHeight="1" thickBot="1">
      <c r="A12" s="389"/>
      <c r="B12" s="92" t="s">
        <v>254</v>
      </c>
      <c r="C12" s="173">
        <f>'Financial 40'!O40</f>
        <v>0.04</v>
      </c>
      <c r="D12" s="174" t="e">
        <f>IF(AND('Data Validation'!C4='Financial 40'!C3,'Financial Statement'!B67&gt;='Financial 40'!D40),'Financial 40'!O40,
IF(AND('Data Validation'!C4='Financial 40'!C3,'Financial Statement'!B67&lt;'Financial 40'!D41,'Financial Statement'!B67&gt;='Financial 40'!C41),'Financial 40'!O41,
IF(AND('Data Validation'!C4='Financial 40'!C3,'Financial Statement'!B67&lt;'Financial 40'!D42,'Financial Statement'!B67&gt;='Financial 40'!C42),'Financial 40'!O42,
IF(AND('Data Validation'!C4='Financial 40'!C3,'Financial Statement'!B67&lt;'Financial 40'!D43,'Financial Statement'!B67&gt;='Financial 40'!C43),'Financial 40'!O43,
IF(AND('Data Validation'!C4='Financial 40'!C3,'Financial Statement'!B67&lt;'Financial 40'!D44),'Financial 40'!O44,
IF(AND('Data Validation'!C4='Financial 40'!E3,'Financial Statement'!B67&gt;='Financial 40'!F40),'Financial 40'!O40,
IF(AND('Data Validation'!C4='Financial 40'!E3,'Financial Statement'!B67&lt;'Financial 40'!F41,'Financial Statement'!B67&gt;='Financial 40'!E41),'Financial 40'!O41,
IF(AND('Data Validation'!C4='Financial 40'!E3,'Financial Statement'!B67&lt;'Financial 40'!F42,'Financial Statement'!B67&gt;='Financial 40'!E42),'Financial 40'!O42,
IF(AND('Data Validation'!C4='Financial 40'!E3,'Financial Statement'!B67&lt;'Financial 40'!F43,'Financial Statement'!B67&gt;='Financial 40'!E43),'Financial 40'!O43,
IF(AND('Data Validation'!C4='Financial 40'!E3,'Financial Statement'!B67&lt;'Financial 40'!F44),'Financial 40'!O44,
IF(AND('Data Validation'!C4='Financial 40'!G3,'Financial Statement'!B67&gt;='Financial 40'!H40),'Financial 40'!O40,
IF(AND('Data Validation'!C4='Financial 40'!G3,'Financial Statement'!B67&lt;'Financial 40'!H41,'Financial Statement'!B67&gt;='Financial 40'!G41),'Financial 40'!O41,
IF(AND('Data Validation'!C4='Financial 40'!G3,'Financial Statement'!B67&lt;'Financial 40'!H42,'Financial Statement'!B67&gt;='Financial 40'!G42),'Financial 40'!O42,
IF(AND('Data Validation'!C4='Financial 40'!G3,'Financial Statement'!B67&lt;'Financial 40'!H43,'Financial Statement'!B67&gt;='Financial 40'!G43),'Financial 40'!O43,
IF(AND('Data Validation'!C4='Financial 40'!G3,'Financial Statement'!B67&lt;'Financial 40'!H44),'Financial 40'!O44,
IF(AND('Data Validation'!C4='Financial 40'!I3,'Financial Statement'!B67&gt;='Financial 40'!J40),'Financial 40'!O40,
IF(AND('Data Validation'!C4='Financial 40'!I3,'Financial Statement'!B67&lt;'Financial 40'!J41,'Financial Statement'!B67&gt;='Financial 40'!I41),'Financial 40'!O41,
IF(AND('Data Validation'!C4='Financial 40'!I3,'Financial Statement'!B67&lt;'Financial 40'!J42,'Financial Statement'!B67&gt;='Financial 40'!I42),'Financial 40'!O42,
IF(AND('Data Validation'!C4='Financial 40'!I3,'Financial Statement'!B67&lt;'Financial 40'!J43,'Financial Statement'!B67&gt;='Financial 40'!I43),'Financial 40'!O43,
IF(AND('Data Validation'!C4='Financial 40'!I3,'Financial Statement'!B67&lt;'Financial 40'!J44),'Financial 40'!O44,
IF(AND('Data Validation'!C4='Financial 40'!K3,'Financial Statement'!B67&gt;='Financial 40'!L40),'Financial 40'!O40,
IF(AND('Data Validation'!C4='Financial 40'!K3,'Financial Statement'!B67&lt;'Financial 40'!L41,'Financial Statement'!B67&gt;='Financial 40'!K41),'Financial 40'!O41,
IF(AND('Data Validation'!C4='Financial 40'!K3,'Financial Statement'!B67&lt;'Financial 40'!L42,'Financial Statement'!B67&gt;='Financial 40'!K42),'Financial 40'!O42,
IF(AND('Data Validation'!C4='Financial 40'!K3,'Financial Statement'!B67&lt;'Financial 40'!L43,'Financial Statement'!B67&gt;='Financial 40'!K43),'Financial 40'!O43,
IF(AND('Data Validation'!C4='Financial 40'!K3,'Financial Statement'!B67&lt;'Financial 40'!L44),'Financial 40'!O44,
IF(AND('Data Validation'!C4='Financial 40'!M3,'Financial Statement'!B67&gt;='Financial 40'!N40),'Financial 40'!O40,
IF(AND('Data Validation'!C4='Financial 40'!M3,'Financial Statement'!B67&lt;'Financial 40'!N41,'Financial Statement'!B67&gt;='Financial 40'!M41),'Financial 40'!O41,
IF(AND('Data Validation'!C4='Financial 40'!M3,'Financial Statement'!B67&lt;'Financial 40'!N42,'Financial Statement'!B67&gt;='Financial 40'!M42),'Financial 40'!O42,
IF(AND('Data Validation'!C4='Financial 40'!M3,'Financial Statement'!B67&lt;'Financial 40'!N43,'Financial Statement'!B67&gt;='Financial 40'!M43),'Financial 40'!O43,
IF(AND('Data Validation'!C4='Financial 40'!M3,'Financial Statement'!B67&lt;'Financial 40'!N44),'Financial 40'!O44))))))))))))))))))))))))))))))</f>
        <v>#DIV/0!</v>
      </c>
      <c r="E12" s="94"/>
      <c r="F12" s="386"/>
    </row>
    <row r="13" spans="1:7" ht="15" customHeight="1" thickBot="1">
      <c r="A13" s="389"/>
      <c r="B13" s="92" t="s">
        <v>237</v>
      </c>
      <c r="C13" s="173">
        <f>'Financial 40'!O46</f>
        <v>0.02</v>
      </c>
      <c r="D13" s="174" t="b">
        <f>IF('Financial Statement'!B51='Financial 40'!C46,'Financial 40'!O46,
IF('Financial Statement'!B51='Financial 40'!C47,'Financial 40'!O47,
IF('Financial Statement'!B51='Financial 40'!C48,'Financial 40'!O48,
IF('Financial Statement'!B51='Financial 40'!C49,'Financial 40'!O49))))</f>
        <v>0</v>
      </c>
      <c r="E13" s="94"/>
      <c r="F13" s="386"/>
    </row>
    <row r="14" spans="1:7" ht="15" customHeight="1" thickBot="1">
      <c r="A14" s="389"/>
      <c r="B14" s="92" t="s">
        <v>12</v>
      </c>
      <c r="C14" s="173">
        <f>'Financial 40'!O52</f>
        <v>0</v>
      </c>
      <c r="D14" s="174" t="b">
        <f>IF('Financial Statement'!B52='Financial 40'!C50,'Financial 40'!O50,
IF('Financial Statement'!B52='Financial 40'!C51,'Financial 40'!O51,
IF('Financial Statement'!B52='Financial 40'!C52,'Financial 40'!O52)))</f>
        <v>0</v>
      </c>
      <c r="E14" s="94"/>
      <c r="F14" s="386"/>
    </row>
    <row r="15" spans="1:7" ht="15" customHeight="1" thickBot="1">
      <c r="A15" s="390"/>
      <c r="B15" s="92" t="s">
        <v>255</v>
      </c>
      <c r="C15" s="173">
        <f>'Financial 40'!O53</f>
        <v>0.05</v>
      </c>
      <c r="D15" s="174" t="e">
        <f>IF(AND('Data Validation'!C4='Financial 40'!C3,'Financial Statement'!B62&gt;='Financial 40'!D53),'Financial 40'!O53,
IF(AND('Data Validation'!C4='Financial 40'!C3,'Financial Statement'!B62&lt;'Financial 40'!D54,'Financial Statement'!B62&gt;='Financial 40'!C54),'Financial 40'!O54,
IF(AND('Data Validation'!C4='Financial 40'!C3,'Financial Statement'!B62&lt;'Financial 40'!D55,'Financial Statement'!B62&gt;='Financial 40'!C55),'Financial 40'!O55,
IF(AND('Data Validation'!C4='Financial 40'!C3,'Financial Statement'!B62&lt;'Financial 40'!D56,'Financial Statement'!B62&gt;='Financial 40'!C56),'Financial 40'!O56,
IF(AND('Data Validation'!C4='Financial 40'!C3,'Financial Statement'!B62&lt;'Financial 40'!D57),'Financial 40'!O57,
IF(AND('Data Validation'!C4='Financial 40'!E3,'Financial Statement'!B62&gt;='Financial 40'!F53),'Financial 40'!O53,
IF(AND('Data Validation'!C4='Financial 40'!E3,'Financial Statement'!B62&lt;'Financial 40'!F54,'Financial Statement'!B62&gt;='Financial 40'!E54),'Financial 40'!O54,
IF(AND('Data Validation'!C4='Financial 40'!E3,'Financial Statement'!B62&lt;'Financial 40'!F55,'Financial Statement'!B62&gt;='Financial 40'!E55),'Financial 40'!O55,
IF(AND('Data Validation'!C4='Financial 40'!E3,'Financial Statement'!B62&lt;'Financial 40'!F56,'Financial Statement'!B62&gt;='Financial 40'!E56),'Financial 40'!O56,
IF(AND('Data Validation'!C4='Financial 40'!E3,'Financial Statement'!B62&lt;'Financial 40'!F57),'Financial 40'!O57,
IF(AND('Data Validation'!C4='Financial 40'!G3,'Financial Statement'!B62&gt;='Financial 40'!H53),'Financial 40'!O53,
IF(AND('Data Validation'!C4='Financial 40'!G3,'Financial Statement'!B62&lt;'Financial 40'!H54,'Financial Statement'!B62&gt;='Financial 40'!G54),'Financial 40'!O54,
IF(AND('Data Validation'!C4='Financial 40'!G3,'Financial Statement'!B62&lt;'Financial 40'!H55,'Financial Statement'!B62&gt;='Financial 40'!G55),'Financial 40'!O55,
IF(AND('Data Validation'!C4='Financial 40'!G3,'Financial Statement'!B62&lt;'Financial 40'!H56,'Financial Statement'!B62&gt;='Financial 40'!G56),'Financial 40'!O56,
IF(AND('Data Validation'!C4='Financial 40'!G3,'Financial Statement'!B62&lt;'Financial 40'!H57),'Financial 40'!O57,
IF(AND('Data Validation'!C4='Financial 40'!I3,'Financial Statement'!B62&gt;='Financial 40'!J53),'Financial 40'!O53,
IF(AND('Data Validation'!C4='Financial 40'!I3,'Financial Statement'!B62&lt;'Financial 40'!J54,'Financial Statement'!B62&gt;='Financial 40'!I54),'Financial 40'!O54,
IF(AND('Data Validation'!C4='Financial 40'!I3,'Financial Statement'!B62&lt;'Financial 40'!J55,'Financial Statement'!B62&gt;='Financial 40'!I55),'Financial 40'!O55,
IF(AND('Data Validation'!C4='Financial 40'!I3,'Financial Statement'!B62&lt;'Financial 40'!J56,'Financial Statement'!B62&gt;='Financial 40'!I56),'Financial 40'!O56,
IF(AND('Data Validation'!C4='Financial 40'!I3,'Financial Statement'!B62&lt;'Financial 40'!J57),'Financial 40'!O57,
IF(AND('Data Validation'!C4='Financial 40'!K3,'Financial Statement'!B62&gt;='Financial 40'!L53),'Financial 40'!O53,
IF(AND('Data Validation'!C4='Financial 40'!K3,'Financial Statement'!B62&lt;'Financial 40'!L54,'Financial Statement'!B62&gt;='Financial 40'!K54),'Financial 40'!O54,
IF(AND('Data Validation'!C4='Financial 40'!K3,'Financial Statement'!B62&lt;'Financial 40'!L55,'Financial Statement'!B62&gt;='Financial 40'!K55),'Financial 40'!O55,
IF(AND('Data Validation'!C4='Financial 40'!K3,'Financial Statement'!B62&lt;'Financial 40'!L56,'Financial Statement'!B62&gt;='Financial 40'!K56),'Financial 40'!O56,
IF(AND('Data Validation'!C4='Financial 40'!K3,'Financial Statement'!B62&lt;'Financial 40'!L57),'Financial 40'!O57,
IF(AND('Data Validation'!C4='Financial 40'!M3,'Financial Statement'!B62&gt;='Financial 40'!N53),'Financial 40'!O53,
IF(AND('Data Validation'!C4='Financial 40'!M3,'Financial Statement'!B62&lt;'Financial 40'!N54,'Financial Statement'!B62&gt;='Financial 40'!M54),'Financial 40'!O54,
IF(AND('Data Validation'!C4='Financial 40'!M3,'Financial Statement'!B62&lt;'Financial 40'!N55,'Financial Statement'!B62&gt;='Financial 40'!M55),'Financial 40'!O55,
IF(AND('Data Validation'!C4='Financial 40'!M3,'Financial Statement'!B62&lt;'Financial 40'!N56,'Financial Statement'!B62&gt;='Financial 40'!M56),'Financial 40'!O56,
IF(AND('Data Validation'!C4='Financial 40'!M3,'Financial Statement'!B62&lt;'Financial 40'!N57),'Financial 40'!O57))))))))))))))))))))))))))))))</f>
        <v>#DIV/0!</v>
      </c>
      <c r="E15" s="94"/>
      <c r="F15" s="387"/>
    </row>
    <row r="16" spans="1:7" ht="15" thickBot="1">
      <c r="A16" s="370" t="s">
        <v>467</v>
      </c>
      <c r="B16" s="92" t="s">
        <v>134</v>
      </c>
      <c r="C16" s="173">
        <f>'Industry attractiveness 7'!E4</f>
        <v>0.02</v>
      </c>
      <c r="D16" s="174" t="b">
        <f>IF('Data Validation'!C12='Industry attractiveness 7'!D4,'Industry attractiveness 7'!E4,
IF('Data Validation'!C12='Industry attractiveness 7'!D5,'Industry attractiveness 7'!E5,
IF('Data Validation'!C12='Industry attractiveness 7'!D6,'Industry attractiveness 7'!E6)))</f>
        <v>0</v>
      </c>
      <c r="E16" s="95"/>
      <c r="F16" s="367">
        <f>SUM(D16:D18)</f>
        <v>0</v>
      </c>
    </row>
    <row r="17" spans="1:6" ht="15" thickBot="1">
      <c r="A17" s="371"/>
      <c r="B17" s="92" t="s">
        <v>258</v>
      </c>
      <c r="C17" s="173">
        <f>'Industry attractiveness 7'!E7</f>
        <v>0.03</v>
      </c>
      <c r="D17" s="175" t="b">
        <f>IF('Data Validation'!C13='Industry attractiveness 7'!D7,'Industry attractiveness 7'!E7,
IF('Data Validation'!C13='Industry attractiveness 7'!D9,'Industry attractiveness 7'!E9,
IF('Data Validation'!C13='Industry attractiveness 7'!D10,'Industry attractiveness 7'!E10)))</f>
        <v>0</v>
      </c>
      <c r="E17" s="94"/>
      <c r="F17" s="368"/>
    </row>
    <row r="18" spans="1:6" ht="15" thickBot="1">
      <c r="A18" s="372"/>
      <c r="B18" s="92" t="s">
        <v>259</v>
      </c>
      <c r="C18" s="173">
        <f>'Industry attractiveness 7'!E11</f>
        <v>0.02</v>
      </c>
      <c r="D18" s="176" t="b">
        <f>IF('Data Validation'!C14='Industry attractiveness 7'!D11,'Industry attractiveness 7'!E11,
IF('Data Validation'!C14='Industry attractiveness 7'!D12,'Industry attractiveness 7'!E12,
IF('Data Validation'!C14='Industry attractiveness 7'!D13,'Industry attractiveness 7'!E13,
IF('Data Validation'!C14='Industry attractiveness 7'!D14,'Industry attractiveness 7'!E14))))</f>
        <v>0</v>
      </c>
      <c r="E18" s="94"/>
      <c r="F18" s="369"/>
    </row>
    <row r="19" spans="1:6" ht="15" thickBot="1">
      <c r="A19" s="388" t="s">
        <v>466</v>
      </c>
      <c r="B19" s="92" t="s">
        <v>272</v>
      </c>
      <c r="C19" s="173">
        <f>'Credit History 29'!F4</f>
        <v>0.04</v>
      </c>
      <c r="D19" s="174" t="str">
        <f>IF('Data Validation'!C30="NO","",
IF(AND('Data Validation'!C35='Credit History 29'!E4,'Data Validation'!C30="YES"),'Credit History 29'!F4,
IF(AND('Data Validation'!C35='Credit History 29'!E5,'Data Validation'!C30="YES"),'Credit History 29'!F5,
IF(AND('Data Validation'!C35='Credit History 29'!E6,'Data Validation'!C30="YES"),'Credit History 29'!F6,
IF(AND('Data Validation'!C35='Credit History 29'!E7,'Data Validation'!C30="YES"),'Credit History 29'!F7,
IF(AND('Data Validation'!C35='Credit History 29'!E8,'Data Validation'!C30="YES"),'Credit History 29'!F8))))))</f>
        <v/>
      </c>
      <c r="E19" s="357" t="str">
        <f>IF('Data Validation'!C30="YES",SUM(D19:D22),"")</f>
        <v/>
      </c>
      <c r="F19" s="392" t="str">
        <f>IF(SUM(E19:E30)=0,"",AVERAGE(E19:E30))</f>
        <v/>
      </c>
    </row>
    <row r="20" spans="1:6" ht="15" thickBot="1">
      <c r="A20" s="389"/>
      <c r="B20" s="92" t="s">
        <v>260</v>
      </c>
      <c r="C20" s="173">
        <f>'Credit History 29'!F10</f>
        <v>0.03</v>
      </c>
      <c r="D20" s="174" t="str">
        <f>IF('Data Validation'!C30="NO","",
IF(AND('Data Validation'!C32&gt;='Credit History 29'!D11,'Data Validation'!C32&lt;'Credit History 29'!E11,'Data Validation'!C30="YES"),'Credit History 29'!F11,
IF(AND('Data Validation'!C32&lt;'Credit History 29'!E12,'Data Validation'!C30="YES"),'Credit History 29'!F12,
IF(AND('Data Validation'!C32&gt;='Credit History 29'!E10,'Data Validation'!C30="YES"),'Credit History 29'!F10))))</f>
        <v/>
      </c>
      <c r="E20" s="395"/>
      <c r="F20" s="393"/>
    </row>
    <row r="21" spans="1:6" ht="15" thickBot="1">
      <c r="A21" s="389"/>
      <c r="B21" s="92" t="s">
        <v>261</v>
      </c>
      <c r="C21" s="173">
        <f>'Credit History 29'!F13</f>
        <v>0.04</v>
      </c>
      <c r="D21" s="174" t="str">
        <f>IF('Data Validation'!C30="NO","",
IF(AND('Data Validation'!C33&lt;='Credit History 29'!E13,'Data Validation'!C30="YES"),'Credit History 29'!F13,
IF(AND('Data Validation'!C33&lt;='Credit History 29'!D14,'Data Validation'!C33&gt;'Credit History 29'!E14,'Data Validation'!C30="YES"),'Credit History 29'!F14,
IF(AND('Data Validation'!C33&gt;'Credit History 29'!E15,'Data Validation'!C30="YES"),'Credit History 29'!F15))))</f>
        <v/>
      </c>
      <c r="E21" s="395"/>
      <c r="F21" s="393"/>
    </row>
    <row r="22" spans="1:6" ht="15" thickBot="1">
      <c r="A22" s="389"/>
      <c r="B22" s="92" t="s">
        <v>262</v>
      </c>
      <c r="C22" s="173">
        <f>'Credit History 29'!F16</f>
        <v>0.1</v>
      </c>
      <c r="D22" s="174" t="str">
        <f>IF('Data Validation'!C30="NO","",
IF(AND('Data Validation'!C34&gt;='Credit History 29'!E16,'Data Validation'!C30="YES"),'Credit History 29'!F16,
IF(AND('Data Validation'!C34&gt;='Credit History 29'!D17,'Data Validation'!C34&lt;'Credit History 29'!E17,'Data Validation'!C30="YES"),'Credit History 29'!F17,
IF(AND('Data Validation'!C34&gt;='Credit History 29'!D18,'Data Validation'!C34&lt;'Credit History 29'!E18,'Data Validation'!C30="YES"),'Credit History 29'!F18,
IF(AND('Data Validation'!C34&lt;'Credit History 29'!E19,'Data Validation'!C30="YES"),'Credit History 29'!F19)))))</f>
        <v/>
      </c>
      <c r="E22" s="359"/>
      <c r="F22" s="393"/>
    </row>
    <row r="23" spans="1:6" ht="15" thickBot="1">
      <c r="A23" s="389"/>
      <c r="B23" s="92" t="s">
        <v>263</v>
      </c>
      <c r="C23" s="173">
        <f>'Credit History 29'!F21</f>
        <v>0.21</v>
      </c>
      <c r="D23" s="174" t="str">
        <f>IF(OR('Data Validation'!C50="NO",'Data Validation'!C50=""),"",
IF(AND('Data Validation'!C51='Credit History 29'!E21,'Data Validation'!C50="YES"),'Credit History 29'!F21,
IF(AND('Data Validation'!C51='Credit History 29'!E22,'Data Validation'!C50="YES"),'Credit History 29'!F22,
IF(AND('Data Validation'!C51='Credit History 29'!E23,'Data Validation'!C50="YES"),'Credit History 29'!F23,
IF(AND('Data Validation'!C51='Credit History 29'!E24,'Data Validation'!C50="YES"),'Credit History 29'!F24)))))</f>
        <v/>
      </c>
      <c r="E23" s="96" t="str">
        <f>IF('Data Validation'!C50="YES",SUM(D23),"")</f>
        <v/>
      </c>
      <c r="F23" s="393"/>
    </row>
    <row r="24" spans="1:6" ht="15" thickBot="1">
      <c r="A24" s="389"/>
      <c r="B24" s="92" t="s">
        <v>145</v>
      </c>
      <c r="C24" s="173">
        <f>'Credit History 29'!F26</f>
        <v>0.21</v>
      </c>
      <c r="D24" s="174" t="str">
        <f>IF(OR('Data Validation'!C36="NO",'Data Validation'!C36=""),"",
IF(AND('Data Validation'!C37='Credit History 29'!E26,'Data Validation'!C36="YES"),'Credit History 29'!F26,
IF(AND('Data Validation'!C37='Credit History 29'!E27,'Data Validation'!C36="YES"),'Credit History 29'!F27,
IF(AND('Data Validation'!C37='Credit History 29'!E28,'Data Validation'!C36="YES"),'Credit History 29'!F28,
IF(AND('Data Validation'!C37='Credit History 29'!E29,'Data Validation'!C36="YES"),'Credit History 29'!F29)))))</f>
        <v/>
      </c>
      <c r="E24" s="94" t="str">
        <f>IF('Data Validation'!C36="YES",SUM(D24),"")</f>
        <v/>
      </c>
      <c r="F24" s="393"/>
    </row>
    <row r="25" spans="1:6" ht="15" thickBot="1">
      <c r="A25" s="389"/>
      <c r="B25" s="92" t="s">
        <v>148</v>
      </c>
      <c r="C25" s="173">
        <f>'Credit History 29'!F31</f>
        <v>0.08</v>
      </c>
      <c r="D25" s="174" t="str">
        <f>IF(OR('Data Validation'!C38="NO",'Data Validation'!C38=""),"",
IF(AND('Data Validation'!C40='Credit History 29'!E31,'Data Validation'!C38="YES"),'Credit History 29'!F31,
IF(AND('Data Validation'!C40='Credit History 29'!E32,'Data Validation'!C38="YES"),'Credit History 29'!F32,
IF(AND('Data Validation'!C40='Credit History 29'!E33,'Data Validation'!C38="YES"),'Credit History 29'!F33,
IF(AND('Data Validation'!C40='Credit History 29'!E34,'Data Validation'!C38="YES"),'Credit History 29'!F34)))))</f>
        <v/>
      </c>
      <c r="E25" s="394" t="str">
        <f>IF('Data Validation'!C38="YES",SUM(D25:D26),"")</f>
        <v/>
      </c>
      <c r="F25" s="393"/>
    </row>
    <row r="26" spans="1:6" ht="15" thickBot="1">
      <c r="A26" s="389"/>
      <c r="B26" s="92" t="s">
        <v>265</v>
      </c>
      <c r="C26" s="173">
        <f>'Credit History 29'!F35</f>
        <v>0.13</v>
      </c>
      <c r="D26" s="174" t="str">
        <f>IF(OR('Data Validation'!C38="NO",'Data Validation'!C38=""),"",
IF(AND('Data Validation'!C41&gt;='Credit History 29'!E35,'Data Validation'!C38="YES"),'Credit History 29'!F35,
IF(AND('Data Validation'!C41&gt;='Credit History 29'!D36,'Data Validation'!C41&lt;'Credit History 29'!E36,'Data Validation'!C38="YES"),'Credit History 29'!F36,
IF(AND('Data Validation'!C41&gt;='Credit History 29'!D37,'Data Validation'!C41&lt;'Credit History 29'!E37,'Data Validation'!C38="YES"),'Credit History 29'!F37,
IF(AND('Data Validation'!C41&gt;='Credit History 29'!D38,'Data Validation'!C41&lt;'Credit History 29'!E38,'Data Validation'!C38="YES"),'Credit History 29'!F38,
IF(AND('Data Validation'!C41&lt;'Credit History 29'!E39,'Data Validation'!C38="YES"),'Credit History 29'!F39))))))</f>
        <v/>
      </c>
      <c r="E26" s="359"/>
      <c r="F26" s="393"/>
    </row>
    <row r="27" spans="1:6" ht="15" thickBot="1">
      <c r="A27" s="389"/>
      <c r="B27" s="92" t="s">
        <v>266</v>
      </c>
      <c r="C27" s="173">
        <f>'Credit History 29'!F41</f>
        <v>0.08</v>
      </c>
      <c r="D27" s="174" t="str">
        <f>IF(OR('Data Validation'!C42="NO",'Data Validation'!C42=""),"",
IF(AND('Data Validation'!C44='Credit History 29'!E41,'Data Validation'!C42="YES"),'Credit History 29'!F41,
IF(AND('Data Validation'!C44='Credit History 29'!E42,'Data Validation'!C42="YES"),'Credit History 29'!F42,
IF(AND('Data Validation'!C44='Credit History 29'!E43,'Data Validation'!C42="YES"),'Credit History 29'!F43,
IF(AND('Data Validation'!C44='Credit History 29'!E44,'Data Validation'!C42="YES"),'Credit History 29'!F44)))))</f>
        <v/>
      </c>
      <c r="E27" s="394" t="str">
        <f>IF('Data Validation'!C42="YES",SUM(D27:D28),"")</f>
        <v/>
      </c>
      <c r="F27" s="393"/>
    </row>
    <row r="28" spans="1:6" ht="15" thickBot="1">
      <c r="A28" s="389"/>
      <c r="B28" s="92" t="s">
        <v>267</v>
      </c>
      <c r="C28" s="173">
        <f>'Credit History 29'!F45</f>
        <v>0.13</v>
      </c>
      <c r="D28" s="174" t="str">
        <f>IF(OR('Data Validation'!C42="NO",'Data Validation'!C42=""),"",
IF(AND('Data Validation'!C45&gt;='Credit History 29'!E45,'Data Validation'!C42="YES"),'Credit History 29'!F45,
IF(AND('Data Validation'!C45&gt;='Credit History 29'!D46,'Data Validation'!C45&lt;'Credit History 29'!E46,'Data Validation'!C42="YES"),'Credit History 29'!F46,
IF(AND('Data Validation'!C45&gt;='Credit History 29'!D47,'Data Validation'!C45&lt;'Credit History 29'!E47,'Data Validation'!C42="YES"),'Credit History 29'!F47,
IF(AND('Data Validation'!C45&gt;='Credit History 29'!D48,'Data Validation'!C45&lt;'Credit History 29'!E48,'Data Validation'!C42="YES"),'Credit History 29'!F48,
IF(AND('Data Validation'!C45&gt;='Credit History 29'!D49,'Data Validation'!C45&lt;'Credit History 29'!E49,'Data Validation'!C42="YES"),'Credit History 29'!F49,
IF(AND('Data Validation'!C45&lt;'Credit History 29'!E50,'Data Validation'!C42="YES"),'Credit History 29'!F50)))))))</f>
        <v/>
      </c>
      <c r="E28" s="359"/>
      <c r="F28" s="393"/>
    </row>
    <row r="29" spans="1:6" ht="15" thickBot="1">
      <c r="A29" s="389"/>
      <c r="B29" s="92" t="s">
        <v>155</v>
      </c>
      <c r="C29" s="173">
        <f>'Credit History 29'!F52</f>
        <v>0.21</v>
      </c>
      <c r="D29" s="174" t="str">
        <f>IF(OR('Data Validation'!C46="NO",'Data Validation'!C46=""),"",
IF(AND('Data Validation'!C46="YES",'Data Validation'!C47='Credit History 29'!E52),'Credit History 29'!F52,
IF(AND('Data Validation'!C46="YES",'Data Validation'!C47='Credit History 29'!E53),'Credit History 29'!F53,
IF(AND('Data Validation'!C46="YES",'Data Validation'!C47='Credit History 29'!E54),'Credit History 29'!F54,
IF(AND('Data Validation'!C46="YES",'Data Validation'!C47='Credit History 29'!E55),'Credit History 29'!F55,
IF(AND('Data Validation'!C46="YES",'Data Validation'!C47='Credit History 29'!E56),'Credit History 29'!F56))))))</f>
        <v/>
      </c>
      <c r="E29" s="94" t="str">
        <f>IF('Data Validation'!C46="YES",SUM(D29),"")</f>
        <v/>
      </c>
      <c r="F29" s="393"/>
    </row>
    <row r="30" spans="1:6" ht="15" thickBot="1">
      <c r="A30" s="389"/>
      <c r="B30" s="92" t="s">
        <v>37</v>
      </c>
      <c r="C30" s="173">
        <f>'Credit History 29'!F52</f>
        <v>0.21</v>
      </c>
      <c r="D30" s="174" t="str">
        <f>IF(OR('Data Validation'!C48="NO",'Data Validation'!C48=""),"",
IF(AND('Data Validation'!C48="YES",'Data Validation'!C49='Credit History 29'!E57),'Credit History 29'!F57,
IF(AND('Data Validation'!C48="YES",'Data Validation'!C49='Credit History 29'!E58),'Credit History 29'!F58,
IF(AND('Data Validation'!C48="YES",'Data Validation'!C49='Credit History 29'!E59),'Credit History 29'!F59))))</f>
        <v/>
      </c>
      <c r="E30" s="94" t="str">
        <f>IF('Data Validation'!C48="YES",SUM(D30),"")</f>
        <v/>
      </c>
      <c r="F30" s="393"/>
    </row>
    <row r="31" spans="1:6" ht="15" thickBot="1">
      <c r="A31" s="389"/>
      <c r="B31" s="92" t="s">
        <v>264</v>
      </c>
      <c r="C31" s="173">
        <f>'Credit History 29'!F66</f>
        <v>0.01</v>
      </c>
      <c r="D31" s="177" t="str">
        <f>IF(OR('Data Validation'!C50="NO",'Data Validation'!C50=""),"",
IF('Data Validation'!C52='Credit History 29'!E66,'Credit History 29'!F66,
IF('Data Validation'!C52='Credit History 29'!E67,'Credit History 29'!F67,
IF('Data Validation'!C52='Credit History 29'!E68,'Credit History 29'!F68,
IF('Data Validation'!C52='Credit History 29'!E69,'Credit History 29'!F69)))))</f>
        <v/>
      </c>
      <c r="E31" s="97" t="str">
        <f>D31</f>
        <v/>
      </c>
      <c r="F31" s="226" t="str">
        <f>E31</f>
        <v/>
      </c>
    </row>
    <row r="32" spans="1:6" ht="15" thickBot="1">
      <c r="A32" s="389"/>
      <c r="B32" s="92" t="s">
        <v>159</v>
      </c>
      <c r="C32" s="173">
        <f>'Credit History 29'!F61</f>
        <v>0.01</v>
      </c>
      <c r="D32" s="177" t="str">
        <f>IF('Credit Information'!H77+'Credit Information'!H27=0,"",
IF('Data Validation'!C54='Credit History 29'!E61,'Credit History 29'!F61,
IF('Data Validation'!C54='Credit History 29'!E62,'Credit History 29'!F62,
IF('Data Validation'!C54='Credit History 29'!E63,'Credit History 29'!F63,
IF('Data Validation'!C54='Credit History 29'!E64,'Credit History 29'!F64)))))</f>
        <v/>
      </c>
      <c r="E32" s="98" t="str">
        <f>D32</f>
        <v/>
      </c>
      <c r="F32" s="226" t="str">
        <f t="shared" ref="F32:F34" si="0">E32</f>
        <v/>
      </c>
    </row>
    <row r="33" spans="1:8" ht="15" thickBot="1">
      <c r="A33" s="389"/>
      <c r="B33" s="92" t="s">
        <v>285</v>
      </c>
      <c r="C33" s="173">
        <f>'Credit History 29'!F71</f>
        <v>0.02</v>
      </c>
      <c r="D33" s="177" t="str">
        <f>IF(OR('Credit Information'!H77+'Credit Information'!H27=0,'Data Validation'!C55=""),"",
IF('Data Validation'!C56='Credit History 29'!E71,'Credit History 29'!F71,
IF('Data Validation'!C56='Credit History 29'!E72,'Credit History 29'!F72,
IF('Data Validation'!C56='Credit History 29'!E73,'Credit History 29'!F73,
IF('Data Validation'!C56='Credit History 29'!E74,'Credit History 29'!F74)))))</f>
        <v/>
      </c>
      <c r="E33" s="99" t="str">
        <f>D33</f>
        <v/>
      </c>
      <c r="F33" s="226" t="str">
        <f t="shared" si="0"/>
        <v/>
      </c>
    </row>
    <row r="34" spans="1:8" ht="15" thickBot="1">
      <c r="A34" s="390"/>
      <c r="B34" s="92" t="str">
        <f>'Credit History 29'!C76</f>
        <v>Account Transaction vs Outstanding Loan</v>
      </c>
      <c r="C34" s="173">
        <f>'Credit History 29'!F76</f>
        <v>0.04</v>
      </c>
      <c r="D34" s="174" t="str">
        <f>IF(OR('Credit Information'!H27=0,'Data Validation'!C29="",'Data Validation'!C29="NO"),"",
IF('Data Validation'!C57&gt;='Credit History 29'!E76,'Credit History 29'!F76,
IF(AND('Data Validation'!C57&gt;='Credit History 29'!D77,'Data Validation'!C57&lt;'Credit History 29'!E77),'Credit History 29'!F77,
IF(AND('Data Validation'!C57&gt;='Credit History 29'!D78,'Data Validation'!C57&lt;'Credit History 29'!E78),'Credit History 29'!F78,
IF('Data Validation'!C57&lt;'Credit History 29'!E79,'Credit History 29'!F79)))))</f>
        <v/>
      </c>
      <c r="E34" s="171" t="str">
        <f>IF('Credit Information'!I27=0,"",'Business Strength Score'!D34)</f>
        <v/>
      </c>
      <c r="F34" s="226" t="str">
        <f t="shared" si="0"/>
        <v/>
      </c>
    </row>
    <row r="35" spans="1:8" ht="17" customHeight="1" thickBot="1">
      <c r="A35" s="370" t="s">
        <v>123</v>
      </c>
      <c r="B35" s="92" t="s">
        <v>296</v>
      </c>
      <c r="C35" s="178">
        <f>'Banking Relationship 10'!E5</f>
        <v>0.03</v>
      </c>
      <c r="D35" s="174">
        <f ca="1">IF('Data Validation'!C59&gt;='Banking Relationship 10'!D5,'Banking Relationship 10'!E5,
IF(AND('Data Validation'!C59&lt;'Banking Relationship 10'!D6,'Data Validation'!C59&gt;='Banking Relationship 10'!C6),'Banking Relationship 10'!E6,
IF(AND('Data Validation'!C59&lt;'Banking Relationship 10'!D7,'Data Validation'!C59&gt;='Banking Relationship 10'!C7),'Banking Relationship 10'!E7,
IF('Data Validation'!C59&lt;='Banking Relationship 10'!D8,'Banking Relationship 10'!E8))))</f>
        <v>0.03</v>
      </c>
      <c r="E35" s="355">
        <f ca="1">SUM(D35:D36)</f>
        <v>0.1</v>
      </c>
      <c r="F35" s="365">
        <f ca="1">E35</f>
        <v>0.1</v>
      </c>
    </row>
    <row r="36" spans="1:8" ht="15" thickBot="1">
      <c r="A36" s="372"/>
      <c r="B36" s="92" t="s">
        <v>162</v>
      </c>
      <c r="C36" s="179">
        <f>'Banking Relationship 10'!E9</f>
        <v>7.0000000000000007E-2</v>
      </c>
      <c r="D36" s="174">
        <f>IF('Data Validation'!C60&gt;='Banking Relationship 10'!D9,'Banking Relationship 10'!E9,
IF(AND('Data Validation'!C60&lt;'Banking Relationship 10'!D10,'Data Validation'!C60&gt;='Banking Relationship 10'!C10),'Banking Relationship 10'!E10,
IF(AND('Data Validation'!C60&lt;'Banking Relationship 10'!D11,'Data Validation'!C60&gt;='Banking Relationship 10'!C11),'Banking Relationship 10'!E11,
IF(AND('Data Validation'!C60&lt;'Banking Relationship 10'!D12,'Data Validation'!C60&gt;='Banking Relationship 10'!C12),'Banking Relationship 10'!E12,
IF(AND('Data Validation'!C60&lt;'Banking Relationship 10'!D13,'Data Validation'!C60&gt;='Banking Relationship 10'!C13),'Banking Relationship 10'!E13,
IF(AND('Data Validation'!C60&lt;'Banking Relationship 10'!D14,'Data Validation'!C60&gt;='Banking Relationship 10'!C14),'Banking Relationship 10'!E14,
IF('Data Validation'!C60&lt;='Banking Relationship 10'!D15,'Banking Relationship 10'!E15)))))))</f>
        <v>7.0000000000000007E-2</v>
      </c>
      <c r="E36" s="356"/>
      <c r="F36" s="366"/>
      <c r="H36" s="1"/>
    </row>
    <row r="37" spans="1:8" ht="14.5" customHeight="1" thickBot="1">
      <c r="A37" s="370" t="s">
        <v>469</v>
      </c>
      <c r="B37" s="92" t="s">
        <v>297</v>
      </c>
      <c r="C37" s="181">
        <f>'Character 5'!D5</f>
        <v>0.02</v>
      </c>
      <c r="D37" s="174">
        <f>IF('Data Validation'!C62='Character 5'!C5,'Character 5'!D5,
IF('Data Validation'!C62='Character 5'!C6,'Character 5'!D6,
IF('Data Validation'!C62='Character 5'!C7,'Character 5'!D7)))</f>
        <v>0.02</v>
      </c>
      <c r="E37" s="357">
        <f>SUM(D37:D39)</f>
        <v>0.02</v>
      </c>
      <c r="F37" s="367">
        <f>E37</f>
        <v>0.02</v>
      </c>
    </row>
    <row r="38" spans="1:8" ht="15" thickBot="1">
      <c r="A38" s="371"/>
      <c r="B38" s="92" t="s">
        <v>298</v>
      </c>
      <c r="C38" s="174">
        <f>'Character 5'!D8</f>
        <v>0.02</v>
      </c>
      <c r="D38" s="182" t="b">
        <f>IF('Data Validation'!C63='Character 5'!C8,'Character 5'!D8,
IF('Data Validation'!C63='Character 5'!C9,'Character 5'!D9,
IF('Data Validation'!C63='Character 5'!C10,'Character 5'!D10,
IF('Data Validation'!C63='Character 5'!C11,'Character 5'!D11))))</f>
        <v>0</v>
      </c>
      <c r="E38" s="358"/>
      <c r="F38" s="368"/>
    </row>
    <row r="39" spans="1:8" ht="15" thickBot="1">
      <c r="A39" s="372"/>
      <c r="B39" s="92" t="s">
        <v>299</v>
      </c>
      <c r="C39" s="174">
        <f>'Character 5'!D12</f>
        <v>0.01</v>
      </c>
      <c r="D39" s="180" t="b">
        <f>IF('Data Validation'!C64='Character 5'!C12,'Character 5'!D12,
IF('Data Validation'!C64='Character 5'!C13,'Character 5'!D13,
IF('Data Validation'!C64='Character 5'!C14,'Character 5'!D14)))</f>
        <v>0</v>
      </c>
      <c r="E39" s="359"/>
      <c r="F39" s="369"/>
    </row>
    <row r="40" spans="1:8" ht="15" thickBot="1">
      <c r="A40" s="370" t="s">
        <v>468</v>
      </c>
      <c r="B40" s="92" t="s">
        <v>168</v>
      </c>
      <c r="C40" s="183">
        <f>'Management Capacity  9'!E5</f>
        <v>0.04</v>
      </c>
      <c r="D40" s="174" t="b">
        <f>IF('Data Validation'!C66='Management Capacity  9'!D5,'Management Capacity  9'!E5,
IF('Data Validation'!C66='Management Capacity  9'!D6,'Management Capacity  9'!E6,
IF('Data Validation'!C66='Management Capacity  9'!D7,'Management Capacity  9'!E7,
IF('Data Validation'!C66='Management Capacity  9'!D8,'Management Capacity  9'!E8))))</f>
        <v>0</v>
      </c>
      <c r="E40" s="357">
        <f>SUM(D40:D42)</f>
        <v>0</v>
      </c>
      <c r="F40" s="367">
        <f>E40</f>
        <v>0</v>
      </c>
    </row>
    <row r="41" spans="1:8" ht="15" thickBot="1">
      <c r="A41" s="371"/>
      <c r="B41" s="92" t="s">
        <v>169</v>
      </c>
      <c r="C41" s="173">
        <f>'Management Capacity  9'!E9</f>
        <v>0.02</v>
      </c>
      <c r="D41" s="174" t="b">
        <f>IF('Data Validation'!C67='Management Capacity  9'!D9,'Management Capacity  9'!E9,
IF('Data Validation'!C67='Management Capacity  9'!D10,'Management Capacity  9'!E10,
IF('Data Validation'!C67='Management Capacity  9'!D11,'Management Capacity  9'!E11,
IF('Data Validation'!C67='Management Capacity  9'!D12,'Management Capacity  9'!E12))))</f>
        <v>0</v>
      </c>
      <c r="E41" s="358"/>
      <c r="F41" s="368"/>
    </row>
    <row r="42" spans="1:8" ht="15" thickBot="1">
      <c r="A42" s="372"/>
      <c r="B42" s="92" t="s">
        <v>301</v>
      </c>
      <c r="C42" s="184">
        <f>'Management Capacity  9'!E13</f>
        <v>0.03</v>
      </c>
      <c r="D42" s="185" t="b">
        <f>IF('Data Validation'!C68='Management Capacity  9'!D13,'Management Capacity  9'!E13,
IF('Data Validation'!C68='Management Capacity  9'!D14,'Management Capacity  9'!E14,
IF('Data Validation'!C68='Management Capacity  9'!D15,'Management Capacity  9'!E15)))</f>
        <v>0</v>
      </c>
      <c r="E42" s="358"/>
      <c r="F42" s="376"/>
    </row>
    <row r="43" spans="1:8" ht="15" thickBot="1">
      <c r="A43" s="360" t="s">
        <v>327</v>
      </c>
      <c r="B43" s="361"/>
      <c r="C43" s="373" t="e">
        <f ca="1">IF(OR(SUM(F19:F34)=0,SUM(F19:F34)=""),(F5+F16+F35+F37+F40)/(SUM(C5:C15)+SUM(C16:C18)+SUM(C35:C36)+SUM(C37:C39)+SUM(C40:C42)),SUM(F5:F42))</f>
        <v>#DIV/0!</v>
      </c>
      <c r="D43" s="374"/>
      <c r="E43" s="374"/>
      <c r="F43" s="375"/>
    </row>
    <row r="44" spans="1:8" ht="15" thickBot="1">
      <c r="A44" s="360" t="str">
        <f>'Business Strength Grade'!D3</f>
        <v>Business Strength Grade</v>
      </c>
      <c r="B44" s="361"/>
      <c r="C44" s="344" t="e">
        <f ca="1">IF(C43&gt;='Business Strength Grade'!B4,'Business Strength Grade'!D4,
IF(AND(C43&gt;='Business Strength Grade'!B5,C43&lt;'Business Strength Grade'!C5),'Business Strength Grade'!D5,
IF(AND(C43&gt;='Business Strength Grade'!B6,C43&lt;'Business Strength Grade'!C6),'Business Strength Grade'!D6,
IF(AND(C43&gt;='Business Strength Grade'!B7,C43&lt;'Business Strength Grade'!C7),'Business Strength Grade'!D7,
IF(C43&lt;'Business Strength Grade'!C8,'Business Strength Grade'!D8)))))</f>
        <v>#DIV/0!</v>
      </c>
      <c r="D44" s="345"/>
      <c r="E44" s="345"/>
      <c r="F44" s="346"/>
    </row>
    <row r="45" spans="1:8" ht="15" thickBot="1">
      <c r="A45" s="360" t="str">
        <f>'Business Strength Grade'!E3</f>
        <v>Business Risk Level</v>
      </c>
      <c r="B45" s="361"/>
      <c r="C45" s="344" t="e">
        <f ca="1">IF(C44='Business Strength Grade'!D4,'Business Strength Grade'!E4,
IF(C44='Business Strength Grade'!D5,'Business Strength Grade'!E5,
IF(C44='Business Strength Grade'!D6,'Business Strength Grade'!E6,
IF(C44='Business Strength Grade'!D7,'Business Strength Grade'!E7,
IF(C44='Business Strength Grade'!D8,'Business Strength Grade'!E8)))))</f>
        <v>#DIV/0!</v>
      </c>
      <c r="D45" s="345"/>
      <c r="E45" s="345"/>
      <c r="F45" s="346"/>
    </row>
    <row r="46" spans="1:8" ht="15" hidden="1" thickBot="1">
      <c r="A46" s="360" t="str">
        <f>'Business Strength Grade'!F3</f>
        <v>Bankability</v>
      </c>
      <c r="B46" s="361"/>
      <c r="C46" s="377" t="e">
        <f ca="1">IF(C44='Business Strength Grade'!D4,'Business Strength Grade'!F4,
IF(C44='Business Strength Grade'!D5,'Business Strength Grade'!F5,
IF(C44='Business Strength Grade'!D6,'Business Strength Grade'!F6,
IF(C44='Business Strength Grade'!D7,'Business Strength Grade'!F7,
IF(C44='Business Strength Grade'!D8,'Business Strength Grade'!F8)))))</f>
        <v>#DIV/0!</v>
      </c>
      <c r="D46" s="378"/>
      <c r="E46" s="378"/>
      <c r="F46" s="379"/>
    </row>
    <row r="47" spans="1:8" ht="15" thickBot="1">
      <c r="A47" s="360" t="s">
        <v>176</v>
      </c>
      <c r="B47" s="361"/>
      <c r="C47" s="186">
        <f>'Security Related Factor'!E5</f>
        <v>0.2</v>
      </c>
      <c r="D47" s="187" t="b">
        <f>IF(AND('Data Validation'!C74="YES",'Data Validation'!C75='Security Related Factor'!D5),'Security Related Factor'!E5,
IF(AND('Data Validation'!C74="YES",'Data Validation'!C75='Security Related Factor'!D6),'Security Related Factor'!E6,
IF(AND('Data Validation'!C74="YES",'Data Validation'!C75='Security Related Factor'!D7),'Security Related Factor'!E7,
IF(AND('Data Validation'!C74="YES",'Data Validation'!C75='Security Related Factor'!D8),'Security Related Factor'!E8,
IF(AND('Data Validation'!C74="YES",'Data Validation'!C75='Security Related Factor'!D9),'Security Related Factor'!E9,
IF(AND('Data Validation'!C74="YES",'Data Validation'!C75='Security Related Factor'!D10),'Security Related Factor'!E10,
IF(AND('Data Validation'!C74="YES",'Data Validation'!C75='Security Related Factor'!D11),'Security Related Factor'!E11,
IF(AND('Data Validation'!C74="YES",'Data Validation'!C75='Security Related Factor'!D12),'Security Related Factor'!E12,
IF(AND('Data Validation'!C74="YES",'Data Validation'!C75='Security Related Factor'!D13),'Security Related Factor'!E13,
IF(AND('Data Validation'!C74="YES",'Data Validation'!C75='Security Related Factor'!D14),'Security Related Factor'!E14,
IF(AND('Data Validation'!C74="YES",'Data Validation'!C75='Security Related Factor'!D15),'Security Related Factor'!E15,
IF(AND('Data Validation'!C74="YES",'Data Validation'!C75='Security Related Factor'!D16),'Security Related Factor'!E16,
IF(AND('Data Validation'!C74="YES",'Data Validation'!C75='Security Related Factor'!D17),'Security Related Factor'!E17,
IF(AND('Data Validation'!C74="YES",'Data Validation'!C75='Security Related Factor'!D18),'Security Related Factor'!E18,
IF(AND('Data Validation'!C74="YES",'Data Validation'!C75='Security Related Factor'!D18),'Security Related Factor'!E18)))))))))))))))</f>
        <v>0</v>
      </c>
      <c r="E47" s="380">
        <f>SUM(D47:D48)</f>
        <v>0</v>
      </c>
      <c r="F47" s="382">
        <f>D47+D48</f>
        <v>0</v>
      </c>
    </row>
    <row r="48" spans="1:8" ht="15" thickBot="1">
      <c r="A48" s="377" t="s">
        <v>333</v>
      </c>
      <c r="B48" s="379"/>
      <c r="C48" s="186">
        <f>'Security Related Factor'!E20</f>
        <v>0.8</v>
      </c>
      <c r="D48" s="187" t="b">
        <f>IF(AND('Data Validation'!C14&lt;&gt;"Cooperatives",'Data Validation'!C74="YES",'Data Validation'!C79&gt;='Security Related Factor'!D20),'Security Related Factor'!E20,
IF(AND('Data Validation'!C14&lt;&gt;"Cooperatives",'Data Validation'!C74="YES",'Data Validation'!C79&gt;='Security Related Factor'!C21,'Data Validation'!C79&lt;'Security Related Factor'!D21),'Security Related Factor'!E21,
IF(AND('Data Validation'!C14&lt;&gt;"Cooperatives",'Data Validation'!C74="YES",'Data Validation'!C79&gt;='Security Related Factor'!C22,'Data Validation'!C79&lt;'Security Related Factor'!D22),'Security Related Factor'!E22,
IF(AND('Data Validation'!C14&lt;&gt;"Cooperatives",'Data Validation'!C74="YES",'Data Validation'!C79&gt;='Security Related Factor'!C23,'Data Validation'!C79&lt;'Security Related Factor'!D23),'Security Related Factor'!E23,
IF(AND('Data Validation'!C14&lt;&gt;"Cooperatives",'Data Validation'!C74="YES",'Data Validation'!C79&gt;='Security Related Factor'!C24,'Data Validation'!C79&lt;'Security Related Factor'!D24),'Security Related Factor'!E24,
IF(AND('Data Validation'!C14&lt;&gt;"Cooperatives",'Data Validation'!C74="YES",'Data Validation'!C79&gt;='Security Related Factor'!C25,'Data Validation'!C79&lt;'Security Related Factor'!D25),'Security Related Factor'!E25,
IF(AND('Data Validation'!C14&lt;&gt;"Cooperatives",'Data Validation'!C74="YES",'Data Validation'!C79&gt;='Security Related Factor'!C26,'Data Validation'!C79&lt;'Security Related Factor'!D26),'Security Related Factor'!E26,
IF(AND('Data Validation'!C14&lt;&gt;"Cooperatives",'Data Validation'!C74="YES",'Data Validation'!C79&lt;'Security Related Factor'!D27),'Security Related Factor'!E27,
IF(AND('Data Validation'!C14="Cooperatives",'Data Validation'!C74="YES",'Data Validation'!C79&gt;='Security Related Factor'!D47),'Security Related Factor'!E47,
IF(AND('Data Validation'!C14="Cooperatives",'Data Validation'!C74="YES",'Data Validation'!C79&gt;='Security Related Factor'!C48,'Data Validation'!C79&lt;'Security Related Factor'!D48),'Security Related Factor'!E48,
IF(AND('Data Validation'!C14="Cooperatives",'Data Validation'!C74="YES",'Data Validation'!C79&gt;='Security Related Factor'!C49,'Data Validation'!C79&lt;'Security Related Factor'!D49),'Security Related Factor'!E49,
IF(AND('Data Validation'!C14="Cooperatives",'Data Validation'!C74="YES",'Data Validation'!C79&gt;='Security Related Factor'!C50,'Data Validation'!C79&lt;'Security Related Factor'!D50),'Security Related Factor'!E50,
IF(AND('Data Validation'!C14="Cooperatives",'Data Validation'!C74="YES",'Data Validation'!C79&gt;='Security Related Factor'!C51,'Data Validation'!C79&lt;'Security Related Factor'!D51),'Security Related Factor'!E51,
IF(AND('Data Validation'!C14="Cooperatives",'Data Validation'!C74="YES",'Data Validation'!C79&gt;='Security Related Factor'!C52,'Data Validation'!C79&lt;'Security Related Factor'!D52),'Security Related Factor'!E52,
IF(AND('Data Validation'!C14="Cooperatives",'Data Validation'!C74="YES",'Data Validation'!C79&lt;'Security Related Factor'!D53),'Security Related Factor'!E53)))))))))))))))</f>
        <v>0</v>
      </c>
      <c r="E48" s="381"/>
      <c r="F48" s="383"/>
    </row>
    <row r="49" spans="1:7" ht="15" thickBot="1">
      <c r="A49" s="360" t="s">
        <v>334</v>
      </c>
      <c r="B49" s="361"/>
      <c r="C49" s="373">
        <f>F47</f>
        <v>0</v>
      </c>
      <c r="D49" s="348"/>
      <c r="E49" s="348"/>
      <c r="F49" s="349"/>
    </row>
    <row r="50" spans="1:7" ht="15" thickBot="1">
      <c r="A50" s="384" t="str">
        <f>'Coll Summary'!E2</f>
        <v>Collateral Strength Grade</v>
      </c>
      <c r="B50" s="361"/>
      <c r="C50" s="347" t="str">
        <f>IF(C49&gt;'Coll Summary'!C3,'Coll Summary'!E3,
IF(AND(C49&gt;='Coll Summary'!C4,C49&lt;'Coll Summary'!D4),'Coll Summary'!E4,
IF(AND(C49&gt;='Coll Summary'!C5,C49&lt;'Coll Summary'!D5),'Coll Summary'!E5,
IF(AND(C49&gt;='Coll Summary'!C6,C49&lt;'Coll Summary'!D6),'Coll Summary'!E6,
IF(C49&lt;'Coll Summary'!D7,'Coll Summary'!E7)))))</f>
        <v>Unsecured</v>
      </c>
      <c r="D50" s="348"/>
      <c r="E50" s="348"/>
      <c r="F50" s="349"/>
    </row>
    <row r="51" spans="1:7" ht="15" thickBot="1">
      <c r="A51" s="384" t="str">
        <f>'Coll Summary'!F2</f>
        <v xml:space="preserve">Collateral Risk Level </v>
      </c>
      <c r="B51" s="361"/>
      <c r="C51" s="347" t="str">
        <f>IF(C49&gt;'Coll Summary'!C3,'Coll Summary'!F3,
IF(AND(C49&gt;='Coll Summary'!C4,C49&lt;'Coll Summary'!D4),'Coll Summary'!F4,
IF(AND(C49&gt;='Coll Summary'!C5,C49&lt;'Coll Summary'!D5),'Coll Summary'!F5,
IF(AND(C49&gt;='Coll Summary'!C6,C49&lt;'Coll Summary'!D6),'Coll Summary'!F6,
IF(C49&lt;'Coll Summary'!D7,'Coll Summary'!F7)))))</f>
        <v>Very high risk</v>
      </c>
      <c r="D51" s="348"/>
      <c r="E51" s="348"/>
      <c r="F51" s="349"/>
    </row>
    <row r="52" spans="1:7" ht="15" thickBot="1">
      <c r="A52" s="360" t="s">
        <v>337</v>
      </c>
      <c r="B52" s="361"/>
      <c r="C52" s="347" t="e">
        <f ca="1">IF(AND(C46='Coll Summary'!C15,'Business Strength Score'!C50='Coll Summary'!B16),'Coll Summary'!C16,
IF(AND(C46='Coll Summary'!C15,'Business Strength Score'!C50='Coll Summary'!B17),'Coll Summary'!C17,
IF(AND(C46='Coll Summary'!C15,'Business Strength Score'!C50='Coll Summary'!B18),'Coll Summary'!C18,
IF(AND(C46='Coll Summary'!C15,'Business Strength Score'!C50='Coll Summary'!B19),'Coll Summary'!C19,
IF(AND(C46='Coll Summary'!C15,'Business Strength Score'!C50='Coll Summary'!B20),'Coll Summary'!C20,
IF(AND(C46='Coll Summary'!D15,'Business Strength Score'!C50='Coll Summary'!B16),'Coll Summary'!D16,
IF(AND(C46='Coll Summary'!D15,'Business Strength Score'!C50='Coll Summary'!B17),'Coll Summary'!D17,
IF(AND(C46='Coll Summary'!D15,'Business Strength Score'!C50='Coll Summary'!B18),'Coll Summary'!D18,
IF(AND(C46='Coll Summary'!D15,'Business Strength Score'!C50='Coll Summary'!B19),'Coll Summary'!D19,
IF(AND(C46='Coll Summary'!D15,'Business Strength Score'!C50='Coll Summary'!B20),'Coll Summary'!D20,
IF(AND(C46='Coll Summary'!E15,'Business Strength Score'!C50='Coll Summary'!B16),'Coll Summary'!E16,
IF(AND(C46='Coll Summary'!E15,'Business Strength Score'!C50='Coll Summary'!B17),'Coll Summary'!E17,
IF(AND(C46='Coll Summary'!E15,'Business Strength Score'!C50='Coll Summary'!B18),'Coll Summary'!E18,
IF(AND(C46='Coll Summary'!E15,'Business Strength Score'!C50='Coll Summary'!B19),'Coll Summary'!E19,
IF(AND(C46='Coll Summary'!E15,'Business Strength Score'!C50='Coll Summary'!B20),'Coll Summary'!E20,
IF(AND(C46='Coll Summary'!F15,'Business Strength Score'!C50='Coll Summary'!B16),'Coll Summary'!F16,
IF(AND(C46='Coll Summary'!F15,'Business Strength Score'!C50='Coll Summary'!B17),'Coll Summary'!F17,
IF(AND(C46='Coll Summary'!F15,'Business Strength Score'!C50='Coll Summary'!B18),'Coll Summary'!F18,
IF(AND(C46='Coll Summary'!F15,'Business Strength Score'!C50='Coll Summary'!B19),'Coll Summary'!F19,
IF(AND(C46='Coll Summary'!F15,'Business Strength Score'!C50='Coll Summary'!B20),'Coll Summary'!F20,
 IF(AND(C46='Coll Summary'!G15,'Business Strength Score'!C50='Coll Summary'!B16),'Coll Summary'!G16,
IF(AND(C46='Coll Summary'!G15,'Business Strength Score'!C50='Coll Summary'!B17),'Coll Summary'!G17,
IF(AND(C46='Coll Summary'!G15,'Business Strength Score'!C50='Coll Summary'!B18),'Coll Summary'!G18,
IF(AND(C46='Coll Summary'!G15,'Business Strength Score'!C50='Coll Summary'!B19),'Coll Summary'!G19,
IF(AND(C46='Coll Summary'!G15,'Business Strength Score'!C50='Coll Summary'!B20),'Coll Summary'!G20)))))))))))))))))))))))))</f>
        <v>#DIV/0!</v>
      </c>
      <c r="D52" s="348"/>
      <c r="E52" s="348"/>
      <c r="F52" s="349"/>
    </row>
    <row r="53" spans="1:7" ht="15" thickBot="1">
      <c r="A53" s="360" t="s">
        <v>341</v>
      </c>
      <c r="B53" s="361"/>
      <c r="C53" s="347" t="e">
        <f ca="1">VLOOKUP(C52,Interpretation!B3:C12,2,0)</f>
        <v>#DIV/0!</v>
      </c>
      <c r="D53" s="348"/>
      <c r="E53" s="348"/>
      <c r="F53" s="349"/>
    </row>
    <row r="54" spans="1:7" ht="15" thickBot="1">
      <c r="A54" s="360" t="s">
        <v>408</v>
      </c>
      <c r="B54" s="361"/>
      <c r="C54" s="362" t="e" cm="1">
        <f t="array" aca="1" ref="C54" ca="1">IF(OR('Credit Information'!J31:J77="Substandard",'Credit Information'!J31:J77="Doubtful",'Credit Information'!J31:J77="Loss"),"Not Eligible Due to NPL",
IF(C53=Interpretation!C3,Interpretation!D3*'Data Validation'!C73,
IF(C53=Interpretation!C4,Interpretation!D4*'Data Validation'!C73,
IF(C53=Interpretation!C5,Interpretation!D5*'Data Validation'!C73,
IF(C53=Interpretation!C6,Interpretation!D6*'Data Validation'!C73,
IF(C53=Interpretation!C7,Interpretation!D7*'Data Validation'!C73,
"Not Recommended for Financing"))))))</f>
        <v>#DIV/0!</v>
      </c>
      <c r="D54" s="363"/>
      <c r="E54" s="363"/>
      <c r="F54" s="364"/>
      <c r="G54" s="84"/>
    </row>
    <row r="56" spans="1:7">
      <c r="A56" s="108" t="s">
        <v>423</v>
      </c>
      <c r="B56" s="26" t="s">
        <v>450</v>
      </c>
    </row>
    <row r="57" spans="1:7" ht="21.5" customHeight="1">
      <c r="A57" s="108" t="s">
        <v>429</v>
      </c>
      <c r="B57" s="26" t="s">
        <v>450</v>
      </c>
    </row>
  </sheetData>
  <sheetProtection formatCells="0" formatColumns="0" formatRows="0" insertColumns="0" insertRows="0" insertHyperlinks="0" deleteColumns="0" deleteRows="0" sort="0" autoFilter="0" pivotTables="0"/>
  <mergeCells count="44">
    <mergeCell ref="F5:F15"/>
    <mergeCell ref="A5:A15"/>
    <mergeCell ref="A19:A34"/>
    <mergeCell ref="A1:F1"/>
    <mergeCell ref="A2:F2"/>
    <mergeCell ref="F19:F30"/>
    <mergeCell ref="E25:E26"/>
    <mergeCell ref="E27:E28"/>
    <mergeCell ref="F16:F18"/>
    <mergeCell ref="A16:A18"/>
    <mergeCell ref="E19:E22"/>
    <mergeCell ref="A49:B49"/>
    <mergeCell ref="C49:F49"/>
    <mergeCell ref="A53:B53"/>
    <mergeCell ref="C53:F53"/>
    <mergeCell ref="A50:B50"/>
    <mergeCell ref="C50:F50"/>
    <mergeCell ref="A51:B51"/>
    <mergeCell ref="C51:F51"/>
    <mergeCell ref="A52:B52"/>
    <mergeCell ref="C52:F52"/>
    <mergeCell ref="C44:F44"/>
    <mergeCell ref="C45:F45"/>
    <mergeCell ref="C46:F46"/>
    <mergeCell ref="A47:B47"/>
    <mergeCell ref="A48:B48"/>
    <mergeCell ref="E47:E48"/>
    <mergeCell ref="F47:F48"/>
    <mergeCell ref="E35:E36"/>
    <mergeCell ref="E37:E39"/>
    <mergeCell ref="E40:E42"/>
    <mergeCell ref="A54:B54"/>
    <mergeCell ref="C54:F54"/>
    <mergeCell ref="F35:F36"/>
    <mergeCell ref="F37:F39"/>
    <mergeCell ref="A40:A42"/>
    <mergeCell ref="A35:A36"/>
    <mergeCell ref="A37:A39"/>
    <mergeCell ref="C43:F43"/>
    <mergeCell ref="A43:B43"/>
    <mergeCell ref="F40:F42"/>
    <mergeCell ref="A44:B44"/>
    <mergeCell ref="A45:B45"/>
    <mergeCell ref="A46:B46"/>
  </mergeCells>
  <printOptions horizontalCentered="1" verticalCentered="1"/>
  <pageMargins left="0" right="0" top="0" bottom="0" header="0.3" footer="0.3"/>
  <pageSetup paperSize="9" scale="95"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B2:E15"/>
  <sheetViews>
    <sheetView workbookViewId="0">
      <selection activeCell="I9" sqref="I9"/>
    </sheetView>
  </sheetViews>
  <sheetFormatPr defaultRowHeight="14.5"/>
  <cols>
    <col min="2" max="2" width="17" customWidth="1"/>
    <col min="3" max="3" width="26.08984375" customWidth="1"/>
    <col min="4" max="4" width="29.6328125" customWidth="1"/>
    <col min="5" max="5" width="23.08984375" customWidth="1"/>
  </cols>
  <sheetData>
    <row r="2" spans="2:5" ht="15.5">
      <c r="C2" s="396" t="s">
        <v>29</v>
      </c>
      <c r="D2" s="396"/>
      <c r="E2" s="396"/>
    </row>
    <row r="3" spans="2:5" ht="15.5">
      <c r="B3" s="11"/>
      <c r="C3" s="40" t="s">
        <v>19</v>
      </c>
      <c r="D3" s="40" t="s">
        <v>20</v>
      </c>
      <c r="E3" s="40" t="s">
        <v>2</v>
      </c>
    </row>
    <row r="4" spans="2:5" ht="15.5">
      <c r="B4" s="397" t="s">
        <v>476</v>
      </c>
      <c r="C4" s="398" t="s">
        <v>438</v>
      </c>
      <c r="D4" s="38" t="s">
        <v>21</v>
      </c>
      <c r="E4" s="4">
        <v>0.02</v>
      </c>
    </row>
    <row r="5" spans="2:5" ht="15.5">
      <c r="B5" s="397"/>
      <c r="C5" s="398"/>
      <c r="D5" s="38" t="s">
        <v>22</v>
      </c>
      <c r="E5" s="4">
        <v>0.01</v>
      </c>
    </row>
    <row r="6" spans="2:5" ht="15.5">
      <c r="B6" s="397"/>
      <c r="C6" s="398"/>
      <c r="D6" s="38" t="s">
        <v>24</v>
      </c>
      <c r="E6" s="4">
        <v>0</v>
      </c>
    </row>
    <row r="7" spans="2:5" ht="15.5">
      <c r="B7" s="397"/>
      <c r="C7" s="398" t="s">
        <v>434</v>
      </c>
      <c r="D7" s="38" t="s">
        <v>435</v>
      </c>
      <c r="E7" s="4">
        <v>0.03</v>
      </c>
    </row>
    <row r="8" spans="2:5" ht="15.5">
      <c r="B8" s="397"/>
      <c r="C8" s="398"/>
      <c r="D8" s="38" t="s">
        <v>436</v>
      </c>
      <c r="E8" s="4">
        <v>0.02</v>
      </c>
    </row>
    <row r="9" spans="2:5" ht="15.5">
      <c r="B9" s="397"/>
      <c r="C9" s="398"/>
      <c r="D9" s="38" t="s">
        <v>437</v>
      </c>
      <c r="E9" s="4">
        <v>0.01</v>
      </c>
    </row>
    <row r="10" spans="2:5" ht="15.5">
      <c r="B10" s="397"/>
      <c r="C10" s="398"/>
      <c r="D10" s="38" t="s">
        <v>23</v>
      </c>
      <c r="E10" s="4">
        <v>0</v>
      </c>
    </row>
    <row r="11" spans="2:5" ht="15.5">
      <c r="B11" s="397"/>
      <c r="C11" s="398" t="s">
        <v>127</v>
      </c>
      <c r="D11" s="38" t="s">
        <v>26</v>
      </c>
      <c r="E11" s="4">
        <v>0.02</v>
      </c>
    </row>
    <row r="12" spans="2:5" ht="15.5">
      <c r="B12" s="397"/>
      <c r="C12" s="398"/>
      <c r="D12" s="38" t="s">
        <v>89</v>
      </c>
      <c r="E12" s="4">
        <v>1.4999999999999999E-2</v>
      </c>
    </row>
    <row r="13" spans="2:5" ht="15.5">
      <c r="B13" s="397"/>
      <c r="C13" s="398"/>
      <c r="D13" s="38" t="s">
        <v>27</v>
      </c>
      <c r="E13" s="4">
        <v>0.01</v>
      </c>
    </row>
    <row r="14" spans="2:5" ht="15.5">
      <c r="B14" s="397"/>
      <c r="C14" s="398"/>
      <c r="D14" s="38" t="s">
        <v>28</v>
      </c>
      <c r="E14" s="4">
        <v>5.0000000000000001E-3</v>
      </c>
    </row>
    <row r="15" spans="2:5" ht="15.5">
      <c r="B15" s="399"/>
      <c r="C15" s="399"/>
      <c r="D15" s="10"/>
      <c r="E15" s="20">
        <f>E4+E7+E11</f>
        <v>7.0000000000000007E-2</v>
      </c>
    </row>
  </sheetData>
  <sheetProtection sheet="1" formatCells="0" formatColumns="0" formatRows="0" insertColumns="0" insertRows="0" insertHyperlinks="0" deleteColumns="0" deleteRows="0" sort="0" autoFilter="0" pivotTables="0"/>
  <mergeCells count="6">
    <mergeCell ref="C2:E2"/>
    <mergeCell ref="B4:B14"/>
    <mergeCell ref="C11:C14"/>
    <mergeCell ref="B15:C15"/>
    <mergeCell ref="C7:C10"/>
    <mergeCell ref="C4:C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3:E17"/>
  <sheetViews>
    <sheetView workbookViewId="0">
      <selection activeCell="I10" sqref="I10"/>
    </sheetView>
  </sheetViews>
  <sheetFormatPr defaultRowHeight="14"/>
  <cols>
    <col min="1" max="1" width="8.7265625" style="26"/>
    <col min="2" max="2" width="66" style="26" bestFit="1" customWidth="1"/>
    <col min="3" max="3" width="12.6328125" style="26" bestFit="1" customWidth="1"/>
    <col min="4" max="4" width="12.6328125" style="26" customWidth="1"/>
    <col min="5" max="5" width="7.54296875" style="26" bestFit="1" customWidth="1"/>
    <col min="6" max="16384" width="8.7265625" style="26"/>
  </cols>
  <sheetData>
    <row r="3" spans="2:5" ht="15.5">
      <c r="B3" s="400" t="s">
        <v>123</v>
      </c>
      <c r="C3" s="400"/>
      <c r="D3" s="400"/>
      <c r="E3" s="400"/>
    </row>
    <row r="4" spans="2:5" ht="15.5">
      <c r="B4" s="30" t="s">
        <v>19</v>
      </c>
      <c r="C4" s="30" t="s">
        <v>20</v>
      </c>
      <c r="D4" s="30"/>
      <c r="E4" s="30" t="s">
        <v>2</v>
      </c>
    </row>
    <row r="5" spans="2:5" ht="15.5">
      <c r="B5" s="401" t="s">
        <v>439</v>
      </c>
      <c r="C5" s="29"/>
      <c r="D5" s="29">
        <v>3</v>
      </c>
      <c r="E5" s="146">
        <v>0.03</v>
      </c>
    </row>
    <row r="6" spans="2:5" ht="15.5">
      <c r="B6" s="401"/>
      <c r="C6" s="29">
        <v>2</v>
      </c>
      <c r="D6" s="29">
        <v>3</v>
      </c>
      <c r="E6" s="27">
        <v>0.02</v>
      </c>
    </row>
    <row r="7" spans="2:5" ht="15.5">
      <c r="B7" s="401"/>
      <c r="C7" s="29">
        <v>1</v>
      </c>
      <c r="D7" s="29">
        <f>C6</f>
        <v>2</v>
      </c>
      <c r="E7" s="27">
        <v>0.01</v>
      </c>
    </row>
    <row r="8" spans="2:5" ht="15.5">
      <c r="B8" s="401"/>
      <c r="C8" s="29"/>
      <c r="D8" s="29">
        <f>C7</f>
        <v>1</v>
      </c>
      <c r="E8" s="147">
        <v>0</v>
      </c>
    </row>
    <row r="9" spans="2:5" ht="15.5">
      <c r="B9" s="402" t="s">
        <v>442</v>
      </c>
      <c r="C9" s="29"/>
      <c r="D9" s="27">
        <v>1</v>
      </c>
      <c r="E9" s="27">
        <v>7.0000000000000007E-2</v>
      </c>
    </row>
    <row r="10" spans="2:5" ht="15.5">
      <c r="B10" s="402"/>
      <c r="C10" s="27">
        <v>0.9</v>
      </c>
      <c r="D10" s="27">
        <v>1</v>
      </c>
      <c r="E10" s="27">
        <v>0.06</v>
      </c>
    </row>
    <row r="11" spans="2:5" ht="15.5">
      <c r="B11" s="402"/>
      <c r="C11" s="27">
        <v>0.8</v>
      </c>
      <c r="D11" s="146">
        <f>C10</f>
        <v>0.9</v>
      </c>
      <c r="E11" s="27">
        <v>0.05</v>
      </c>
    </row>
    <row r="12" spans="2:5" ht="15.5">
      <c r="B12" s="402"/>
      <c r="C12" s="27">
        <v>0.7</v>
      </c>
      <c r="D12" s="146">
        <f t="shared" ref="D12:D15" si="0">C11</f>
        <v>0.8</v>
      </c>
      <c r="E12" s="27">
        <v>0.04</v>
      </c>
    </row>
    <row r="13" spans="2:5" ht="15.5">
      <c r="B13" s="402"/>
      <c r="C13" s="27">
        <v>0.6</v>
      </c>
      <c r="D13" s="146">
        <f t="shared" si="0"/>
        <v>0.7</v>
      </c>
      <c r="E13" s="27">
        <v>0.03</v>
      </c>
    </row>
    <row r="14" spans="2:5" ht="15.5">
      <c r="B14" s="402"/>
      <c r="C14" s="27">
        <v>0.5</v>
      </c>
      <c r="D14" s="146">
        <f t="shared" si="0"/>
        <v>0.6</v>
      </c>
      <c r="E14" s="27">
        <v>0.02</v>
      </c>
    </row>
    <row r="15" spans="2:5" ht="15.5">
      <c r="B15" s="402"/>
      <c r="C15" s="29"/>
      <c r="D15" s="146">
        <f t="shared" si="0"/>
        <v>0.5</v>
      </c>
      <c r="E15" s="27">
        <v>0.01</v>
      </c>
    </row>
    <row r="16" spans="2:5">
      <c r="B16" s="31"/>
      <c r="C16" s="31"/>
      <c r="D16" s="31"/>
      <c r="E16" s="32">
        <f>E9+E5</f>
        <v>0.1</v>
      </c>
    </row>
    <row r="17" spans="2:5">
      <c r="B17" s="31"/>
      <c r="C17" s="31"/>
      <c r="D17" s="31"/>
      <c r="E17" s="31"/>
    </row>
  </sheetData>
  <sheetProtection sheet="1" formatCells="0" formatColumns="0" formatRows="0" insertColumns="0" insertRows="0" insertHyperlinks="0" deleteColumns="0" deleteRows="0" sort="0" autoFilter="0" pivotTables="0"/>
  <mergeCells count="3">
    <mergeCell ref="B3:E3"/>
    <mergeCell ref="B5:B8"/>
    <mergeCell ref="B9:B15"/>
  </mergeCells>
  <phoneticPr fontId="33" type="noConversion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3:D16"/>
  <sheetViews>
    <sheetView workbookViewId="0">
      <selection activeCell="J9" sqref="J9"/>
    </sheetView>
  </sheetViews>
  <sheetFormatPr defaultRowHeight="14"/>
  <cols>
    <col min="1" max="1" width="8.7265625" style="26"/>
    <col min="2" max="2" width="46" style="26" bestFit="1" customWidth="1"/>
    <col min="3" max="3" width="32.453125" style="26" bestFit="1" customWidth="1"/>
    <col min="4" max="4" width="8.26953125" style="26" bestFit="1" customWidth="1"/>
    <col min="5" max="16384" width="8.7265625" style="26"/>
  </cols>
  <sheetData>
    <row r="3" spans="2:4" ht="15.5">
      <c r="B3" s="400" t="s">
        <v>469</v>
      </c>
      <c r="C3" s="400"/>
      <c r="D3" s="400"/>
    </row>
    <row r="4" spans="2:4" ht="15.5">
      <c r="B4" s="30" t="s">
        <v>19</v>
      </c>
      <c r="C4" s="30" t="s">
        <v>20</v>
      </c>
      <c r="D4" s="30" t="s">
        <v>2</v>
      </c>
    </row>
    <row r="5" spans="2:4" ht="17.25" customHeight="1">
      <c r="B5" s="403" t="s">
        <v>109</v>
      </c>
      <c r="C5" s="41" t="s">
        <v>42</v>
      </c>
      <c r="D5" s="33">
        <v>0.02</v>
      </c>
    </row>
    <row r="6" spans="2:4" ht="15.5">
      <c r="B6" s="403"/>
      <c r="C6" s="41" t="s">
        <v>25</v>
      </c>
      <c r="D6" s="33">
        <v>0.01</v>
      </c>
    </row>
    <row r="7" spans="2:4" ht="15.5">
      <c r="B7" s="403"/>
      <c r="C7" s="41" t="s">
        <v>43</v>
      </c>
      <c r="D7" s="33">
        <v>0</v>
      </c>
    </row>
    <row r="8" spans="2:4" ht="17.25" customHeight="1">
      <c r="B8" s="403" t="s">
        <v>440</v>
      </c>
      <c r="C8" s="41" t="s">
        <v>44</v>
      </c>
      <c r="D8" s="33">
        <v>0.02</v>
      </c>
    </row>
    <row r="9" spans="2:4" ht="20.25" customHeight="1">
      <c r="B9" s="403"/>
      <c r="C9" s="41" t="s">
        <v>45</v>
      </c>
      <c r="D9" s="33">
        <v>1.4999999999999999E-2</v>
      </c>
    </row>
    <row r="10" spans="2:4" ht="18" customHeight="1">
      <c r="B10" s="403"/>
      <c r="C10" s="41" t="s">
        <v>46</v>
      </c>
      <c r="D10" s="33">
        <v>0.01</v>
      </c>
    </row>
    <row r="11" spans="2:4" ht="17.25" customHeight="1">
      <c r="B11" s="403"/>
      <c r="C11" s="41" t="s">
        <v>47</v>
      </c>
      <c r="D11" s="33">
        <v>0</v>
      </c>
    </row>
    <row r="12" spans="2:4" ht="17.25" customHeight="1">
      <c r="B12" s="404" t="s">
        <v>475</v>
      </c>
      <c r="C12" s="285" t="s">
        <v>441</v>
      </c>
      <c r="D12" s="286">
        <v>0.01</v>
      </c>
    </row>
    <row r="13" spans="2:4" ht="15.5">
      <c r="B13" s="404"/>
      <c r="C13" s="285" t="s">
        <v>25</v>
      </c>
      <c r="D13" s="286">
        <v>5.0000000000000001E-3</v>
      </c>
    </row>
    <row r="14" spans="2:4" ht="15.5">
      <c r="B14" s="404"/>
      <c r="C14" s="285" t="s">
        <v>43</v>
      </c>
      <c r="D14" s="286">
        <v>0</v>
      </c>
    </row>
    <row r="15" spans="2:4">
      <c r="B15" s="31"/>
      <c r="C15" s="31"/>
      <c r="D15" s="32">
        <f>D5+D8+D12</f>
        <v>0.05</v>
      </c>
    </row>
    <row r="16" spans="2:4">
      <c r="B16" s="31"/>
      <c r="C16" s="31">
        <f>7+10+5+40+29+9</f>
        <v>100</v>
      </c>
      <c r="D16" s="31"/>
    </row>
  </sheetData>
  <sheetProtection sheet="1" formatCells="0" formatColumns="0" formatRows="0" insertColumns="0" insertRows="0" insertHyperlinks="0" deleteColumns="0" deleteRows="0" sort="0" autoFilter="0" pivotTables="0"/>
  <mergeCells count="4">
    <mergeCell ref="B8:B11"/>
    <mergeCell ref="B12:B14"/>
    <mergeCell ref="B3:D3"/>
    <mergeCell ref="B5:B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B1:Q58"/>
  <sheetViews>
    <sheetView workbookViewId="0">
      <selection activeCell="O5" sqref="O5"/>
    </sheetView>
  </sheetViews>
  <sheetFormatPr defaultRowHeight="14.5"/>
  <cols>
    <col min="2" max="2" width="19.08984375" customWidth="1"/>
    <col min="3" max="3" width="11.90625" customWidth="1"/>
    <col min="4" max="4" width="17.81640625" customWidth="1"/>
    <col min="5" max="6" width="12.08984375" customWidth="1"/>
    <col min="7" max="10" width="13.36328125" customWidth="1"/>
    <col min="11" max="12" width="11.90625" customWidth="1"/>
    <col min="13" max="13" width="13.90625" customWidth="1"/>
    <col min="14" max="14" width="5.6328125" bestFit="1" customWidth="1"/>
  </cols>
  <sheetData>
    <row r="1" spans="2:15" ht="15.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2:15" ht="15.5" customHeight="1">
      <c r="B2" s="28" t="s">
        <v>0</v>
      </c>
      <c r="C2" s="405" t="s">
        <v>1</v>
      </c>
      <c r="D2" s="405"/>
      <c r="E2" s="405"/>
      <c r="F2" s="405"/>
      <c r="G2" s="405"/>
      <c r="H2" s="405"/>
      <c r="I2" s="405"/>
      <c r="J2" s="405"/>
      <c r="K2" s="405"/>
      <c r="L2" s="405"/>
      <c r="M2" s="405"/>
      <c r="N2" s="405"/>
      <c r="O2" s="405"/>
    </row>
    <row r="3" spans="2:15" ht="42" customHeight="1">
      <c r="B3" s="6"/>
      <c r="C3" s="416" t="s">
        <v>101</v>
      </c>
      <c r="D3" s="417"/>
      <c r="E3" s="416" t="s">
        <v>16</v>
      </c>
      <c r="F3" s="417"/>
      <c r="G3" s="416" t="s">
        <v>105</v>
      </c>
      <c r="H3" s="417"/>
      <c r="I3" s="416" t="s">
        <v>129</v>
      </c>
      <c r="J3" s="417"/>
      <c r="K3" s="416" t="s">
        <v>17</v>
      </c>
      <c r="L3" s="417"/>
      <c r="M3" s="416" t="s">
        <v>18</v>
      </c>
      <c r="N3" s="417"/>
      <c r="O3" s="34" t="s">
        <v>2</v>
      </c>
    </row>
    <row r="4" spans="2:15" ht="15.75" customHeight="1">
      <c r="B4" s="407" t="s">
        <v>108</v>
      </c>
      <c r="C4" s="408"/>
      <c r="D4" s="408"/>
      <c r="E4" s="408"/>
      <c r="F4" s="408"/>
      <c r="G4" s="408"/>
      <c r="H4" s="408"/>
      <c r="I4" s="408"/>
      <c r="J4" s="408"/>
      <c r="K4" s="408"/>
      <c r="L4" s="408"/>
      <c r="M4" s="408"/>
      <c r="N4" s="408"/>
      <c r="O4" s="408"/>
    </row>
    <row r="5" spans="2:15" ht="15.75" customHeight="1">
      <c r="B5" s="405" t="s">
        <v>462</v>
      </c>
      <c r="C5" s="167"/>
      <c r="D5" s="168">
        <v>0.3</v>
      </c>
      <c r="E5" s="167"/>
      <c r="F5" s="168">
        <v>0.3</v>
      </c>
      <c r="G5" s="167"/>
      <c r="H5" s="168">
        <v>0.3</v>
      </c>
      <c r="I5" s="167"/>
      <c r="J5" s="168">
        <v>0.3</v>
      </c>
      <c r="K5" s="167"/>
      <c r="L5" s="168">
        <v>0.3</v>
      </c>
      <c r="M5" s="167"/>
      <c r="N5" s="168">
        <v>0.3</v>
      </c>
      <c r="O5" s="168">
        <v>0.03</v>
      </c>
    </row>
    <row r="6" spans="2:15" ht="15.75" customHeight="1">
      <c r="B6" s="405"/>
      <c r="C6" s="168">
        <v>0.2</v>
      </c>
      <c r="D6" s="169">
        <f>D5</f>
        <v>0.3</v>
      </c>
      <c r="E6" s="168">
        <v>0.2</v>
      </c>
      <c r="F6" s="169">
        <f t="shared" ref="F6" si="0">F5</f>
        <v>0.3</v>
      </c>
      <c r="G6" s="168">
        <v>0.2</v>
      </c>
      <c r="H6" s="169">
        <f t="shared" ref="H6" si="1">H5</f>
        <v>0.3</v>
      </c>
      <c r="I6" s="168">
        <v>0.2</v>
      </c>
      <c r="J6" s="169">
        <f t="shared" ref="J6" si="2">J5</f>
        <v>0.3</v>
      </c>
      <c r="K6" s="168">
        <v>0.2</v>
      </c>
      <c r="L6" s="169">
        <f>L5</f>
        <v>0.3</v>
      </c>
      <c r="M6" s="168">
        <v>0.2</v>
      </c>
      <c r="N6" s="169">
        <f t="shared" ref="N6" si="3">N5</f>
        <v>0.3</v>
      </c>
      <c r="O6" s="168">
        <v>0.02</v>
      </c>
    </row>
    <row r="7" spans="2:15" ht="15.75" customHeight="1">
      <c r="B7" s="405"/>
      <c r="C7" s="168">
        <v>0.1</v>
      </c>
      <c r="D7" s="168">
        <f>C6</f>
        <v>0.2</v>
      </c>
      <c r="E7" s="168">
        <v>0.1</v>
      </c>
      <c r="F7" s="168">
        <f t="shared" ref="F7:F8" si="4">E6</f>
        <v>0.2</v>
      </c>
      <c r="G7" s="168">
        <v>0.1</v>
      </c>
      <c r="H7" s="168">
        <f t="shared" ref="H7:H8" si="5">G6</f>
        <v>0.2</v>
      </c>
      <c r="I7" s="168">
        <v>0.1</v>
      </c>
      <c r="J7" s="168">
        <f t="shared" ref="J7:J8" si="6">I6</f>
        <v>0.2</v>
      </c>
      <c r="K7" s="168">
        <v>0.1</v>
      </c>
      <c r="L7" s="168">
        <f t="shared" ref="L7:L8" si="7">K6</f>
        <v>0.2</v>
      </c>
      <c r="M7" s="168">
        <v>0.1</v>
      </c>
      <c r="N7" s="168">
        <f t="shared" ref="N7:N8" si="8">M6</f>
        <v>0.2</v>
      </c>
      <c r="O7" s="168">
        <v>0.01</v>
      </c>
    </row>
    <row r="8" spans="2:15" ht="15.75" customHeight="1">
      <c r="B8" s="405"/>
      <c r="C8" s="167"/>
      <c r="D8" s="168">
        <f>C7</f>
        <v>0.1</v>
      </c>
      <c r="E8" s="167"/>
      <c r="F8" s="168">
        <f t="shared" si="4"/>
        <v>0.1</v>
      </c>
      <c r="G8" s="167"/>
      <c r="H8" s="168">
        <f t="shared" si="5"/>
        <v>0.1</v>
      </c>
      <c r="I8" s="167"/>
      <c r="J8" s="168">
        <f t="shared" si="6"/>
        <v>0.1</v>
      </c>
      <c r="K8" s="167"/>
      <c r="L8" s="168">
        <f t="shared" si="7"/>
        <v>0.1</v>
      </c>
      <c r="M8" s="167"/>
      <c r="N8" s="168">
        <f t="shared" si="8"/>
        <v>0.1</v>
      </c>
      <c r="O8" s="168">
        <v>0</v>
      </c>
    </row>
    <row r="9" spans="2:15" ht="15.75" customHeight="1">
      <c r="B9" s="406" t="s">
        <v>232</v>
      </c>
      <c r="C9" s="287"/>
      <c r="D9" s="288">
        <v>0.6</v>
      </c>
      <c r="E9" s="287"/>
      <c r="F9" s="288">
        <v>0.6</v>
      </c>
      <c r="G9" s="287"/>
      <c r="H9" s="288">
        <v>0.6</v>
      </c>
      <c r="I9" s="287"/>
      <c r="J9" s="288">
        <v>0.6</v>
      </c>
      <c r="K9" s="287"/>
      <c r="L9" s="288">
        <v>0.6</v>
      </c>
      <c r="M9" s="287"/>
      <c r="N9" s="288">
        <v>0.6</v>
      </c>
      <c r="O9" s="288">
        <v>0.06</v>
      </c>
    </row>
    <row r="10" spans="2:15" ht="15.5">
      <c r="B10" s="406"/>
      <c r="C10" s="288">
        <v>0.7</v>
      </c>
      <c r="D10" s="288">
        <v>0.6</v>
      </c>
      <c r="E10" s="288">
        <v>0.7</v>
      </c>
      <c r="F10" s="288">
        <v>0.6</v>
      </c>
      <c r="G10" s="288">
        <v>0.7</v>
      </c>
      <c r="H10" s="288">
        <v>0.6</v>
      </c>
      <c r="I10" s="288">
        <v>0.7</v>
      </c>
      <c r="J10" s="288">
        <v>0.6</v>
      </c>
      <c r="K10" s="288">
        <v>0.7</v>
      </c>
      <c r="L10" s="288">
        <v>0.6</v>
      </c>
      <c r="M10" s="288">
        <v>0.7</v>
      </c>
      <c r="N10" s="288">
        <v>0.6</v>
      </c>
      <c r="O10" s="288">
        <v>0.04</v>
      </c>
    </row>
    <row r="11" spans="2:15" ht="15.5">
      <c r="B11" s="406"/>
      <c r="C11" s="288">
        <v>0.9</v>
      </c>
      <c r="D11" s="288">
        <f>C10</f>
        <v>0.7</v>
      </c>
      <c r="E11" s="288">
        <v>0.9</v>
      </c>
      <c r="F11" s="288">
        <f>E10</f>
        <v>0.7</v>
      </c>
      <c r="G11" s="288">
        <v>0.9</v>
      </c>
      <c r="H11" s="288">
        <f>G10</f>
        <v>0.7</v>
      </c>
      <c r="I11" s="288">
        <v>0.9</v>
      </c>
      <c r="J11" s="288">
        <f>I10</f>
        <v>0.7</v>
      </c>
      <c r="K11" s="288">
        <v>0.9</v>
      </c>
      <c r="L11" s="288">
        <f>K10</f>
        <v>0.7</v>
      </c>
      <c r="M11" s="288">
        <v>0.9</v>
      </c>
      <c r="N11" s="288">
        <f>M10</f>
        <v>0.7</v>
      </c>
      <c r="O11" s="288">
        <v>0.02</v>
      </c>
    </row>
    <row r="12" spans="2:15" ht="15.5">
      <c r="B12" s="406"/>
      <c r="C12" s="287"/>
      <c r="D12" s="288">
        <v>0.9</v>
      </c>
      <c r="E12" s="287"/>
      <c r="F12" s="288">
        <v>0.9</v>
      </c>
      <c r="G12" s="287"/>
      <c r="H12" s="288">
        <v>0.9</v>
      </c>
      <c r="I12" s="287"/>
      <c r="J12" s="288">
        <v>0.9</v>
      </c>
      <c r="K12" s="287"/>
      <c r="L12" s="288">
        <v>0.9</v>
      </c>
      <c r="M12" s="287"/>
      <c r="N12" s="288">
        <v>0.9</v>
      </c>
      <c r="O12" s="288">
        <v>0</v>
      </c>
    </row>
    <row r="13" spans="2:15" ht="15" customHeight="1">
      <c r="B13" s="406" t="s">
        <v>4</v>
      </c>
      <c r="C13" s="287"/>
      <c r="D13" s="288">
        <v>2</v>
      </c>
      <c r="E13" s="287"/>
      <c r="F13" s="288">
        <v>2</v>
      </c>
      <c r="G13" s="287"/>
      <c r="H13" s="288">
        <v>2</v>
      </c>
      <c r="I13" s="287"/>
      <c r="J13" s="288">
        <v>2</v>
      </c>
      <c r="K13" s="287"/>
      <c r="L13" s="288">
        <v>2</v>
      </c>
      <c r="M13" s="287"/>
      <c r="N13" s="288">
        <v>2</v>
      </c>
      <c r="O13" s="288">
        <v>0.05</v>
      </c>
    </row>
    <row r="14" spans="2:15" ht="15.5">
      <c r="B14" s="406"/>
      <c r="C14" s="288">
        <v>1.5</v>
      </c>
      <c r="D14" s="288">
        <v>2</v>
      </c>
      <c r="E14" s="288">
        <v>1.5</v>
      </c>
      <c r="F14" s="288">
        <v>2</v>
      </c>
      <c r="G14" s="288">
        <v>1.5</v>
      </c>
      <c r="H14" s="288">
        <v>2</v>
      </c>
      <c r="I14" s="288">
        <v>1.5</v>
      </c>
      <c r="J14" s="288">
        <v>2</v>
      </c>
      <c r="K14" s="288">
        <v>1.5</v>
      </c>
      <c r="L14" s="288">
        <v>2</v>
      </c>
      <c r="M14" s="288">
        <v>1.5</v>
      </c>
      <c r="N14" s="288">
        <v>2</v>
      </c>
      <c r="O14" s="288">
        <v>0.04</v>
      </c>
    </row>
    <row r="15" spans="2:15" ht="16.5" customHeight="1">
      <c r="B15" s="406"/>
      <c r="C15" s="288">
        <v>1</v>
      </c>
      <c r="D15" s="288">
        <v>1.5</v>
      </c>
      <c r="E15" s="288">
        <v>1</v>
      </c>
      <c r="F15" s="288">
        <v>1.5</v>
      </c>
      <c r="G15" s="288">
        <v>1</v>
      </c>
      <c r="H15" s="288">
        <v>1.5</v>
      </c>
      <c r="I15" s="288">
        <v>1</v>
      </c>
      <c r="J15" s="288">
        <v>1.5</v>
      </c>
      <c r="K15" s="288">
        <v>1</v>
      </c>
      <c r="L15" s="288">
        <v>1.5</v>
      </c>
      <c r="M15" s="288">
        <v>1</v>
      </c>
      <c r="N15" s="288">
        <v>1.5</v>
      </c>
      <c r="O15" s="288">
        <v>0.03</v>
      </c>
    </row>
    <row r="16" spans="2:15" ht="16.5" customHeight="1">
      <c r="B16" s="406"/>
      <c r="C16" s="288">
        <v>0.5</v>
      </c>
      <c r="D16" s="288">
        <v>1</v>
      </c>
      <c r="E16" s="288">
        <v>0.5</v>
      </c>
      <c r="F16" s="288">
        <v>1</v>
      </c>
      <c r="G16" s="288">
        <v>0.5</v>
      </c>
      <c r="H16" s="288">
        <v>1</v>
      </c>
      <c r="I16" s="288">
        <v>0.5</v>
      </c>
      <c r="J16" s="288">
        <v>1</v>
      </c>
      <c r="K16" s="288">
        <v>0.5</v>
      </c>
      <c r="L16" s="288">
        <v>1</v>
      </c>
      <c r="M16" s="288">
        <v>0.5</v>
      </c>
      <c r="N16" s="288">
        <v>1</v>
      </c>
      <c r="O16" s="288">
        <v>0.02</v>
      </c>
    </row>
    <row r="17" spans="2:15" ht="15.5">
      <c r="B17" s="406"/>
      <c r="C17" s="287"/>
      <c r="D17" s="288">
        <v>0.5</v>
      </c>
      <c r="E17" s="287"/>
      <c r="F17" s="288">
        <v>0.5</v>
      </c>
      <c r="G17" s="287"/>
      <c r="H17" s="288">
        <v>0.5</v>
      </c>
      <c r="I17" s="287"/>
      <c r="J17" s="288">
        <v>0.5</v>
      </c>
      <c r="K17" s="287"/>
      <c r="L17" s="288">
        <v>0.5</v>
      </c>
      <c r="M17" s="287"/>
      <c r="N17" s="288">
        <v>0.5</v>
      </c>
      <c r="O17" s="288">
        <v>0</v>
      </c>
    </row>
    <row r="18" spans="2:15" ht="12.75" customHeight="1">
      <c r="B18" s="414" t="s">
        <v>3</v>
      </c>
      <c r="C18" s="415"/>
      <c r="D18" s="415"/>
      <c r="E18" s="415"/>
      <c r="F18" s="415"/>
      <c r="G18" s="415"/>
      <c r="H18" s="415"/>
      <c r="I18" s="415"/>
      <c r="J18" s="415"/>
      <c r="K18" s="415"/>
      <c r="L18" s="415"/>
      <c r="M18" s="415"/>
      <c r="N18" s="415"/>
      <c r="O18" s="415"/>
    </row>
    <row r="19" spans="2:15" ht="17.25" customHeight="1">
      <c r="B19" s="406" t="s">
        <v>5</v>
      </c>
      <c r="C19" s="288"/>
      <c r="D19" s="288">
        <v>0.05</v>
      </c>
      <c r="E19" s="288"/>
      <c r="F19" s="288">
        <v>0.05</v>
      </c>
      <c r="G19" s="288"/>
      <c r="H19" s="288">
        <v>0.05</v>
      </c>
      <c r="I19" s="288"/>
      <c r="J19" s="288">
        <v>0.05</v>
      </c>
      <c r="K19" s="288"/>
      <c r="L19" s="288">
        <v>0.05</v>
      </c>
      <c r="M19" s="288"/>
      <c r="N19" s="288">
        <v>0.05</v>
      </c>
      <c r="O19" s="288">
        <v>0.03</v>
      </c>
    </row>
    <row r="20" spans="2:15" ht="16.5" customHeight="1">
      <c r="B20" s="406"/>
      <c r="C20" s="288">
        <v>0.03</v>
      </c>
      <c r="D20" s="288">
        <v>0.05</v>
      </c>
      <c r="E20" s="288">
        <v>0.03</v>
      </c>
      <c r="F20" s="288">
        <v>0.05</v>
      </c>
      <c r="G20" s="288">
        <v>0.03</v>
      </c>
      <c r="H20" s="288">
        <v>0.05</v>
      </c>
      <c r="I20" s="288">
        <v>0.03</v>
      </c>
      <c r="J20" s="288">
        <v>0.05</v>
      </c>
      <c r="K20" s="288">
        <v>0.03</v>
      </c>
      <c r="L20" s="288">
        <v>0.05</v>
      </c>
      <c r="M20" s="288">
        <v>0.03</v>
      </c>
      <c r="N20" s="288">
        <v>0.05</v>
      </c>
      <c r="O20" s="289">
        <v>0.02</v>
      </c>
    </row>
    <row r="21" spans="2:15" ht="15.5">
      <c r="B21" s="406"/>
      <c r="C21" s="288">
        <v>0.01</v>
      </c>
      <c r="D21" s="288">
        <f>C20</f>
        <v>0.03</v>
      </c>
      <c r="E21" s="288">
        <v>0.01</v>
      </c>
      <c r="F21" s="288">
        <f>E20</f>
        <v>0.03</v>
      </c>
      <c r="G21" s="288">
        <v>0.01</v>
      </c>
      <c r="H21" s="288">
        <f>G20</f>
        <v>0.03</v>
      </c>
      <c r="I21" s="288">
        <v>0.01</v>
      </c>
      <c r="J21" s="288">
        <f>I20</f>
        <v>0.03</v>
      </c>
      <c r="K21" s="288">
        <v>0.01</v>
      </c>
      <c r="L21" s="288">
        <f>K20</f>
        <v>0.03</v>
      </c>
      <c r="M21" s="288">
        <v>0.01</v>
      </c>
      <c r="N21" s="288">
        <f>M20</f>
        <v>0.03</v>
      </c>
      <c r="O21" s="288">
        <v>0.01</v>
      </c>
    </row>
    <row r="22" spans="2:15" ht="15.5">
      <c r="B22" s="406"/>
      <c r="C22" s="288"/>
      <c r="D22" s="288">
        <f>C21</f>
        <v>0.01</v>
      </c>
      <c r="E22" s="288"/>
      <c r="F22" s="288">
        <f>E21</f>
        <v>0.01</v>
      </c>
      <c r="G22" s="288"/>
      <c r="H22" s="288">
        <f>G21</f>
        <v>0.01</v>
      </c>
      <c r="I22" s="288"/>
      <c r="J22" s="288">
        <f>I21</f>
        <v>0.01</v>
      </c>
      <c r="K22" s="288"/>
      <c r="L22" s="288">
        <f>K21</f>
        <v>0.01</v>
      </c>
      <c r="M22" s="288"/>
      <c r="N22" s="288">
        <f>M21</f>
        <v>0.01</v>
      </c>
      <c r="O22" s="288">
        <v>0</v>
      </c>
    </row>
    <row r="23" spans="2:15" ht="15.5">
      <c r="B23" s="406"/>
      <c r="C23" s="288"/>
      <c r="D23" s="288"/>
      <c r="E23" s="288"/>
      <c r="F23" s="288"/>
      <c r="G23" s="288"/>
      <c r="H23" s="290"/>
      <c r="I23" s="288"/>
      <c r="J23" s="288"/>
      <c r="K23" s="288"/>
      <c r="L23" s="288"/>
      <c r="M23" s="288"/>
      <c r="N23" s="288"/>
      <c r="O23" s="289"/>
    </row>
    <row r="24" spans="2:15" ht="15.5">
      <c r="B24" s="406"/>
      <c r="C24" s="287"/>
      <c r="D24" s="288"/>
      <c r="E24" s="287"/>
      <c r="F24" s="288"/>
      <c r="G24" s="287"/>
      <c r="H24" s="290"/>
      <c r="I24" s="287"/>
      <c r="J24" s="288"/>
      <c r="K24" s="287"/>
      <c r="L24" s="288"/>
      <c r="M24" s="287"/>
      <c r="N24" s="288"/>
      <c r="O24" s="288"/>
    </row>
    <row r="25" spans="2:15" ht="15.75" customHeight="1">
      <c r="B25" s="406" t="s">
        <v>6</v>
      </c>
      <c r="C25" s="287"/>
      <c r="D25" s="288">
        <v>0.2</v>
      </c>
      <c r="E25" s="287"/>
      <c r="F25" s="288">
        <v>0.2</v>
      </c>
      <c r="G25" s="287"/>
      <c r="H25" s="288">
        <v>0.2</v>
      </c>
      <c r="I25" s="287"/>
      <c r="J25" s="288">
        <v>0.2</v>
      </c>
      <c r="K25" s="287"/>
      <c r="L25" s="288">
        <v>0.2</v>
      </c>
      <c r="M25" s="287"/>
      <c r="N25" s="288">
        <v>0.2</v>
      </c>
      <c r="O25" s="288">
        <v>0.05</v>
      </c>
    </row>
    <row r="26" spans="2:15" ht="20.25" customHeight="1">
      <c r="B26" s="406"/>
      <c r="C26" s="288">
        <v>0.15</v>
      </c>
      <c r="D26" s="288">
        <v>0.2</v>
      </c>
      <c r="E26" s="288">
        <v>0.15</v>
      </c>
      <c r="F26" s="288">
        <v>0.2</v>
      </c>
      <c r="G26" s="288">
        <v>0.15</v>
      </c>
      <c r="H26" s="288">
        <v>0.2</v>
      </c>
      <c r="I26" s="288">
        <v>0.15</v>
      </c>
      <c r="J26" s="288">
        <v>0.2</v>
      </c>
      <c r="K26" s="288">
        <v>0.15</v>
      </c>
      <c r="L26" s="288">
        <v>0.2</v>
      </c>
      <c r="M26" s="288">
        <v>0.15</v>
      </c>
      <c r="N26" s="288">
        <v>0.2</v>
      </c>
      <c r="O26" s="288">
        <v>0.04</v>
      </c>
    </row>
    <row r="27" spans="2:15" ht="15.5">
      <c r="B27" s="406"/>
      <c r="C27" s="288">
        <v>0.1</v>
      </c>
      <c r="D27" s="288">
        <v>0.15</v>
      </c>
      <c r="E27" s="288">
        <v>0.1</v>
      </c>
      <c r="F27" s="288">
        <v>0.15</v>
      </c>
      <c r="G27" s="288">
        <v>0.1</v>
      </c>
      <c r="H27" s="288">
        <v>0.15</v>
      </c>
      <c r="I27" s="288">
        <v>0.1</v>
      </c>
      <c r="J27" s="288">
        <v>0.15</v>
      </c>
      <c r="K27" s="288">
        <v>0.1</v>
      </c>
      <c r="L27" s="288">
        <v>0.15</v>
      </c>
      <c r="M27" s="288">
        <v>0.1</v>
      </c>
      <c r="N27" s="288">
        <v>0.15</v>
      </c>
      <c r="O27" s="288">
        <v>0.03</v>
      </c>
    </row>
    <row r="28" spans="2:15" ht="15.5">
      <c r="B28" s="406"/>
      <c r="C28" s="288">
        <v>0.05</v>
      </c>
      <c r="D28" s="288">
        <v>0.1</v>
      </c>
      <c r="E28" s="288">
        <v>0.05</v>
      </c>
      <c r="F28" s="288">
        <v>0.1</v>
      </c>
      <c r="G28" s="288">
        <v>0.05</v>
      </c>
      <c r="H28" s="288">
        <v>0.1</v>
      </c>
      <c r="I28" s="288">
        <v>0.05</v>
      </c>
      <c r="J28" s="288">
        <v>0.1</v>
      </c>
      <c r="K28" s="288">
        <v>0.05</v>
      </c>
      <c r="L28" s="288">
        <v>0.1</v>
      </c>
      <c r="M28" s="288">
        <v>0.05</v>
      </c>
      <c r="N28" s="288">
        <v>0.1</v>
      </c>
      <c r="O28" s="288">
        <v>0.02</v>
      </c>
    </row>
    <row r="29" spans="2:15" ht="15.5">
      <c r="B29" s="406"/>
      <c r="C29" s="288">
        <v>0</v>
      </c>
      <c r="D29" s="288">
        <v>0.05</v>
      </c>
      <c r="E29" s="288">
        <v>0</v>
      </c>
      <c r="F29" s="288">
        <v>0.05</v>
      </c>
      <c r="G29" s="288">
        <v>0</v>
      </c>
      <c r="H29" s="288">
        <v>0.05</v>
      </c>
      <c r="I29" s="288">
        <v>0</v>
      </c>
      <c r="J29" s="288">
        <v>0.05</v>
      </c>
      <c r="K29" s="288">
        <v>0</v>
      </c>
      <c r="L29" s="288">
        <v>0.05</v>
      </c>
      <c r="M29" s="288">
        <v>0</v>
      </c>
      <c r="N29" s="288">
        <v>0.05</v>
      </c>
      <c r="O29" s="288">
        <v>0.01</v>
      </c>
    </row>
    <row r="30" spans="2:15" ht="15.75" customHeight="1">
      <c r="B30" s="406" t="s">
        <v>443</v>
      </c>
      <c r="C30" s="287"/>
      <c r="D30" s="288">
        <v>3</v>
      </c>
      <c r="E30" s="287"/>
      <c r="F30" s="288">
        <v>3</v>
      </c>
      <c r="G30" s="287"/>
      <c r="H30" s="288">
        <v>3</v>
      </c>
      <c r="I30" s="287"/>
      <c r="J30" s="288">
        <v>3</v>
      </c>
      <c r="K30" s="287"/>
      <c r="L30" s="288">
        <v>3</v>
      </c>
      <c r="M30" s="287"/>
      <c r="N30" s="288">
        <v>3</v>
      </c>
      <c r="O30" s="288">
        <v>0.03</v>
      </c>
    </row>
    <row r="31" spans="2:15" ht="14.25" customHeight="1">
      <c r="B31" s="406"/>
      <c r="C31" s="288">
        <v>2.5</v>
      </c>
      <c r="D31" s="288">
        <v>3</v>
      </c>
      <c r="E31" s="288">
        <v>2.5</v>
      </c>
      <c r="F31" s="288">
        <v>3</v>
      </c>
      <c r="G31" s="288">
        <v>2.5</v>
      </c>
      <c r="H31" s="288">
        <v>3</v>
      </c>
      <c r="I31" s="288">
        <v>2.5</v>
      </c>
      <c r="J31" s="288">
        <v>3</v>
      </c>
      <c r="K31" s="288">
        <v>2.5</v>
      </c>
      <c r="L31" s="288">
        <v>3</v>
      </c>
      <c r="M31" s="288">
        <v>2.5</v>
      </c>
      <c r="N31" s="288">
        <v>3</v>
      </c>
      <c r="O31" s="289">
        <v>0.02</v>
      </c>
    </row>
    <row r="32" spans="2:15" ht="18.75" customHeight="1">
      <c r="B32" s="406"/>
      <c r="C32" s="288">
        <v>2</v>
      </c>
      <c r="D32" s="288">
        <f>C31</f>
        <v>2.5</v>
      </c>
      <c r="E32" s="288">
        <v>2</v>
      </c>
      <c r="F32" s="288">
        <f>E31</f>
        <v>2.5</v>
      </c>
      <c r="G32" s="288">
        <v>2</v>
      </c>
      <c r="H32" s="288">
        <f>G31</f>
        <v>2.5</v>
      </c>
      <c r="I32" s="288">
        <v>2</v>
      </c>
      <c r="J32" s="288">
        <f>I31</f>
        <v>2.5</v>
      </c>
      <c r="K32" s="288">
        <v>2</v>
      </c>
      <c r="L32" s="288">
        <f>K31</f>
        <v>2.5</v>
      </c>
      <c r="M32" s="288">
        <v>2</v>
      </c>
      <c r="N32" s="288">
        <f>M31</f>
        <v>2.5</v>
      </c>
      <c r="O32" s="288">
        <v>0.01</v>
      </c>
    </row>
    <row r="33" spans="2:17" ht="15" customHeight="1">
      <c r="B33" s="406"/>
      <c r="C33" s="288"/>
      <c r="D33" s="288">
        <f>C32</f>
        <v>2</v>
      </c>
      <c r="E33" s="288"/>
      <c r="F33" s="288">
        <f>E32</f>
        <v>2</v>
      </c>
      <c r="G33" s="288"/>
      <c r="H33" s="288">
        <f>G32</f>
        <v>2</v>
      </c>
      <c r="I33" s="288"/>
      <c r="J33" s="288">
        <f>I32</f>
        <v>2</v>
      </c>
      <c r="K33" s="288"/>
      <c r="L33" s="288">
        <f>K32</f>
        <v>2</v>
      </c>
      <c r="M33" s="288"/>
      <c r="N33" s="288">
        <f>M32</f>
        <v>2</v>
      </c>
      <c r="O33" s="288">
        <v>0</v>
      </c>
    </row>
    <row r="34" spans="2:17" ht="15" customHeight="1">
      <c r="B34" s="406"/>
      <c r="C34" s="287"/>
      <c r="D34" s="288"/>
      <c r="E34" s="287"/>
      <c r="F34" s="288">
        <v>0.5</v>
      </c>
      <c r="G34" s="287"/>
      <c r="H34" s="288">
        <v>1</v>
      </c>
      <c r="I34" s="287"/>
      <c r="J34" s="288">
        <v>1</v>
      </c>
      <c r="K34" s="287"/>
      <c r="L34" s="288">
        <v>0.5</v>
      </c>
      <c r="M34" s="287"/>
      <c r="N34" s="288">
        <v>0.5</v>
      </c>
      <c r="O34" s="288">
        <v>0</v>
      </c>
    </row>
    <row r="35" spans="2:17" ht="15" customHeight="1">
      <c r="B35" s="406" t="s">
        <v>106</v>
      </c>
      <c r="C35" s="291"/>
      <c r="D35" s="292">
        <v>12</v>
      </c>
      <c r="E35" s="291"/>
      <c r="F35" s="292">
        <v>12</v>
      </c>
      <c r="G35" s="291"/>
      <c r="H35" s="292">
        <v>12</v>
      </c>
      <c r="I35" s="291"/>
      <c r="J35" s="292">
        <v>12</v>
      </c>
      <c r="K35" s="291"/>
      <c r="L35" s="292">
        <v>12</v>
      </c>
      <c r="M35" s="291"/>
      <c r="N35" s="292">
        <v>12</v>
      </c>
      <c r="O35" s="288">
        <v>0.04</v>
      </c>
    </row>
    <row r="36" spans="2:17" ht="16.5" customHeight="1">
      <c r="B36" s="406"/>
      <c r="C36" s="292">
        <v>9</v>
      </c>
      <c r="D36" s="292">
        <v>12</v>
      </c>
      <c r="E36" s="292">
        <v>9</v>
      </c>
      <c r="F36" s="292">
        <v>12</v>
      </c>
      <c r="G36" s="292">
        <v>9</v>
      </c>
      <c r="H36" s="292">
        <v>12</v>
      </c>
      <c r="I36" s="292">
        <v>9</v>
      </c>
      <c r="J36" s="292">
        <v>12</v>
      </c>
      <c r="K36" s="292">
        <v>9</v>
      </c>
      <c r="L36" s="292">
        <v>12</v>
      </c>
      <c r="M36" s="292">
        <v>9</v>
      </c>
      <c r="N36" s="292">
        <v>12</v>
      </c>
      <c r="O36" s="288">
        <v>0.03</v>
      </c>
    </row>
    <row r="37" spans="2:17" ht="15.5">
      <c r="B37" s="406"/>
      <c r="C37" s="292">
        <v>6</v>
      </c>
      <c r="D37" s="292">
        <f>C36</f>
        <v>9</v>
      </c>
      <c r="E37" s="292">
        <v>6</v>
      </c>
      <c r="F37" s="292">
        <f>E36</f>
        <v>9</v>
      </c>
      <c r="G37" s="292">
        <v>6</v>
      </c>
      <c r="H37" s="292">
        <f>G36</f>
        <v>9</v>
      </c>
      <c r="I37" s="292">
        <v>6</v>
      </c>
      <c r="J37" s="292">
        <f>I36</f>
        <v>9</v>
      </c>
      <c r="K37" s="292">
        <v>6</v>
      </c>
      <c r="L37" s="292">
        <f>K36</f>
        <v>9</v>
      </c>
      <c r="M37" s="292">
        <v>6</v>
      </c>
      <c r="N37" s="292">
        <f>M36</f>
        <v>9</v>
      </c>
      <c r="O37" s="288">
        <v>0.02</v>
      </c>
    </row>
    <row r="38" spans="2:17" ht="15.5">
      <c r="B38" s="406"/>
      <c r="C38" s="292">
        <v>3</v>
      </c>
      <c r="D38" s="292">
        <f t="shared" ref="D38:D39" si="9">C37</f>
        <v>6</v>
      </c>
      <c r="E38" s="292">
        <v>3</v>
      </c>
      <c r="F38" s="292">
        <f t="shared" ref="F38:F39" si="10">E37</f>
        <v>6</v>
      </c>
      <c r="G38" s="292">
        <v>3</v>
      </c>
      <c r="H38" s="292">
        <f t="shared" ref="H38:H39" si="11">G37</f>
        <v>6</v>
      </c>
      <c r="I38" s="292">
        <v>3</v>
      </c>
      <c r="J38" s="292">
        <f t="shared" ref="J38:J39" si="12">I37</f>
        <v>6</v>
      </c>
      <c r="K38" s="292">
        <v>3</v>
      </c>
      <c r="L38" s="292">
        <f t="shared" ref="L38:L39" si="13">K37</f>
        <v>6</v>
      </c>
      <c r="M38" s="292">
        <v>3</v>
      </c>
      <c r="N38" s="292">
        <f t="shared" ref="N38:N39" si="14">M37</f>
        <v>6</v>
      </c>
      <c r="O38" s="288">
        <v>0.01</v>
      </c>
    </row>
    <row r="39" spans="2:17" ht="15.5">
      <c r="B39" s="406"/>
      <c r="C39" s="287"/>
      <c r="D39" s="292">
        <f t="shared" si="9"/>
        <v>3</v>
      </c>
      <c r="E39" s="287"/>
      <c r="F39" s="292">
        <f t="shared" si="10"/>
        <v>3</v>
      </c>
      <c r="G39" s="287"/>
      <c r="H39" s="292">
        <f t="shared" si="11"/>
        <v>3</v>
      </c>
      <c r="I39" s="287"/>
      <c r="J39" s="292">
        <f t="shared" si="12"/>
        <v>3</v>
      </c>
      <c r="K39" s="287"/>
      <c r="L39" s="292">
        <f t="shared" si="13"/>
        <v>3</v>
      </c>
      <c r="M39" s="287"/>
      <c r="N39" s="292">
        <f t="shared" si="14"/>
        <v>3</v>
      </c>
      <c r="O39" s="288">
        <v>0</v>
      </c>
    </row>
    <row r="40" spans="2:17" ht="15.75" customHeight="1">
      <c r="B40" s="406" t="s">
        <v>15</v>
      </c>
      <c r="C40" s="293"/>
      <c r="D40" s="294">
        <v>0.2</v>
      </c>
      <c r="E40" s="293"/>
      <c r="F40" s="294">
        <v>0.2</v>
      </c>
      <c r="G40" s="293"/>
      <c r="H40" s="294">
        <v>0.2</v>
      </c>
      <c r="I40" s="293"/>
      <c r="J40" s="294">
        <v>0.2</v>
      </c>
      <c r="K40" s="293"/>
      <c r="L40" s="294">
        <v>0.2</v>
      </c>
      <c r="M40" s="293"/>
      <c r="N40" s="294">
        <v>0.2</v>
      </c>
      <c r="O40" s="295">
        <v>0.04</v>
      </c>
      <c r="Q40" s="7"/>
    </row>
    <row r="41" spans="2:17" ht="15.75" customHeight="1">
      <c r="B41" s="406"/>
      <c r="C41" s="294">
        <v>0.15</v>
      </c>
      <c r="D41" s="294">
        <f>D40</f>
        <v>0.2</v>
      </c>
      <c r="E41" s="294">
        <v>0.15</v>
      </c>
      <c r="F41" s="294">
        <f>F40</f>
        <v>0.2</v>
      </c>
      <c r="G41" s="294">
        <v>0.15</v>
      </c>
      <c r="H41" s="294">
        <f>H40</f>
        <v>0.2</v>
      </c>
      <c r="I41" s="294">
        <v>0.15</v>
      </c>
      <c r="J41" s="294">
        <f>J40</f>
        <v>0.2</v>
      </c>
      <c r="K41" s="294">
        <v>0.15</v>
      </c>
      <c r="L41" s="294">
        <f>L40</f>
        <v>0.2</v>
      </c>
      <c r="M41" s="294">
        <v>0.15</v>
      </c>
      <c r="N41" s="294">
        <f>N40</f>
        <v>0.2</v>
      </c>
      <c r="O41" s="295">
        <v>0.03</v>
      </c>
    </row>
    <row r="42" spans="2:17" ht="18" customHeight="1">
      <c r="B42" s="406"/>
      <c r="C42" s="294">
        <v>0.1</v>
      </c>
      <c r="D42" s="294">
        <f>C41</f>
        <v>0.15</v>
      </c>
      <c r="E42" s="294">
        <v>0.1</v>
      </c>
      <c r="F42" s="294">
        <f>E41</f>
        <v>0.15</v>
      </c>
      <c r="G42" s="294">
        <v>0.1</v>
      </c>
      <c r="H42" s="294">
        <f>G41</f>
        <v>0.15</v>
      </c>
      <c r="I42" s="294">
        <v>0.1</v>
      </c>
      <c r="J42" s="294">
        <f>I41</f>
        <v>0.15</v>
      </c>
      <c r="K42" s="294">
        <v>0.1</v>
      </c>
      <c r="L42" s="294">
        <f>K41</f>
        <v>0.15</v>
      </c>
      <c r="M42" s="294">
        <v>0.1</v>
      </c>
      <c r="N42" s="294">
        <f>M41</f>
        <v>0.15</v>
      </c>
      <c r="O42" s="295">
        <v>0.02</v>
      </c>
    </row>
    <row r="43" spans="2:17" ht="18.75" customHeight="1">
      <c r="B43" s="406"/>
      <c r="C43" s="294">
        <v>0.05</v>
      </c>
      <c r="D43" s="294">
        <f t="shared" ref="D43:D44" si="15">C42</f>
        <v>0.1</v>
      </c>
      <c r="E43" s="294">
        <v>0.05</v>
      </c>
      <c r="F43" s="294">
        <f t="shared" ref="F43:F44" si="16">E42</f>
        <v>0.1</v>
      </c>
      <c r="G43" s="294">
        <v>0.05</v>
      </c>
      <c r="H43" s="294">
        <f t="shared" ref="H43:H44" si="17">G42</f>
        <v>0.1</v>
      </c>
      <c r="I43" s="294">
        <v>0.05</v>
      </c>
      <c r="J43" s="294">
        <f t="shared" ref="J43:J44" si="18">I42</f>
        <v>0.1</v>
      </c>
      <c r="K43" s="294">
        <v>0.05</v>
      </c>
      <c r="L43" s="294">
        <f t="shared" ref="L43:L44" si="19">K42</f>
        <v>0.1</v>
      </c>
      <c r="M43" s="294">
        <v>0.05</v>
      </c>
      <c r="N43" s="294">
        <f t="shared" ref="N43:N44" si="20">M42</f>
        <v>0.1</v>
      </c>
      <c r="O43" s="295">
        <v>0.01</v>
      </c>
    </row>
    <row r="44" spans="2:17" ht="18.75" customHeight="1">
      <c r="B44" s="406"/>
      <c r="C44" s="293"/>
      <c r="D44" s="294">
        <f t="shared" si="15"/>
        <v>0.05</v>
      </c>
      <c r="E44" s="293"/>
      <c r="F44" s="294">
        <f t="shared" si="16"/>
        <v>0.05</v>
      </c>
      <c r="G44" s="293"/>
      <c r="H44" s="294">
        <f t="shared" si="17"/>
        <v>0.05</v>
      </c>
      <c r="I44" s="293"/>
      <c r="J44" s="294">
        <f t="shared" si="18"/>
        <v>0.05</v>
      </c>
      <c r="K44" s="293"/>
      <c r="L44" s="294">
        <f t="shared" si="19"/>
        <v>0.05</v>
      </c>
      <c r="M44" s="293"/>
      <c r="N44" s="294">
        <f t="shared" si="20"/>
        <v>0.05</v>
      </c>
      <c r="O44" s="295">
        <v>0</v>
      </c>
    </row>
    <row r="45" spans="2:17" ht="15.75" customHeight="1">
      <c r="B45" s="412" t="s">
        <v>7</v>
      </c>
      <c r="C45" s="413"/>
      <c r="D45" s="413"/>
      <c r="E45" s="413"/>
      <c r="F45" s="413"/>
      <c r="G45" s="413"/>
      <c r="H45" s="413"/>
      <c r="I45" s="413"/>
      <c r="J45" s="413"/>
      <c r="K45" s="413"/>
      <c r="L45" s="413"/>
      <c r="M45" s="413"/>
      <c r="N45" s="413"/>
      <c r="O45" s="413"/>
    </row>
    <row r="46" spans="2:17" ht="15.75" customHeight="1">
      <c r="B46" s="419" t="s">
        <v>7</v>
      </c>
      <c r="C46" s="293" t="s">
        <v>8</v>
      </c>
      <c r="D46" s="293"/>
      <c r="E46" s="293"/>
      <c r="F46" s="293"/>
      <c r="G46" s="293"/>
      <c r="H46" s="293"/>
      <c r="I46" s="293"/>
      <c r="J46" s="293"/>
      <c r="K46" s="293"/>
      <c r="L46" s="293"/>
      <c r="M46" s="293"/>
      <c r="N46" s="293"/>
      <c r="O46" s="296">
        <v>0.02</v>
      </c>
    </row>
    <row r="47" spans="2:17" ht="15.75" customHeight="1">
      <c r="B47" s="419"/>
      <c r="C47" s="293" t="s">
        <v>9</v>
      </c>
      <c r="D47" s="293"/>
      <c r="E47" s="293"/>
      <c r="F47" s="293"/>
      <c r="G47" s="293"/>
      <c r="H47" s="293"/>
      <c r="I47" s="293"/>
      <c r="J47" s="293"/>
      <c r="K47" s="293"/>
      <c r="L47" s="293"/>
      <c r="M47" s="293"/>
      <c r="N47" s="293"/>
      <c r="O47" s="296">
        <v>0.01</v>
      </c>
    </row>
    <row r="48" spans="2:17" ht="15.5" customHeight="1">
      <c r="B48" s="419"/>
      <c r="C48" s="293" t="s">
        <v>10</v>
      </c>
      <c r="D48" s="293"/>
      <c r="E48" s="293"/>
      <c r="F48" s="293"/>
      <c r="G48" s="293"/>
      <c r="H48" s="293"/>
      <c r="I48" s="293"/>
      <c r="J48" s="293"/>
      <c r="K48" s="293"/>
      <c r="L48" s="293"/>
      <c r="M48" s="293"/>
      <c r="N48" s="293"/>
      <c r="O48" s="296">
        <v>5.0000000000000001E-3</v>
      </c>
    </row>
    <row r="49" spans="2:15" ht="15.5" customHeight="1">
      <c r="B49" s="419"/>
      <c r="C49" s="293" t="s">
        <v>11</v>
      </c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6">
        <v>0</v>
      </c>
    </row>
    <row r="50" spans="2:15" ht="15.5" customHeight="1">
      <c r="B50" s="409" t="s">
        <v>12</v>
      </c>
      <c r="C50" s="293" t="s">
        <v>13</v>
      </c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6">
        <v>-0.02</v>
      </c>
    </row>
    <row r="51" spans="2:15" ht="15.5" customHeight="1">
      <c r="B51" s="410"/>
      <c r="C51" s="293" t="s">
        <v>14</v>
      </c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6">
        <v>-0.03</v>
      </c>
    </row>
    <row r="52" spans="2:15" ht="15.5" customHeight="1">
      <c r="B52" s="411"/>
      <c r="C52" s="293" t="s">
        <v>103</v>
      </c>
      <c r="D52" s="293"/>
      <c r="E52" s="293"/>
      <c r="F52" s="293"/>
      <c r="G52" s="293"/>
      <c r="H52" s="293"/>
      <c r="I52" s="293"/>
      <c r="J52" s="293"/>
      <c r="K52" s="293"/>
      <c r="L52" s="293"/>
      <c r="M52" s="293"/>
      <c r="N52" s="293"/>
      <c r="O52" s="296">
        <v>0</v>
      </c>
    </row>
    <row r="53" spans="2:15" ht="15.5">
      <c r="B53" s="418" t="s">
        <v>56</v>
      </c>
      <c r="C53" s="297"/>
      <c r="D53" s="298">
        <v>0.5</v>
      </c>
      <c r="E53" s="297"/>
      <c r="F53" s="298">
        <v>0.5</v>
      </c>
      <c r="G53" s="297"/>
      <c r="H53" s="298">
        <v>0.5</v>
      </c>
      <c r="I53" s="297"/>
      <c r="J53" s="298">
        <v>0.5</v>
      </c>
      <c r="K53" s="297"/>
      <c r="L53" s="298">
        <v>0.5</v>
      </c>
      <c r="M53" s="297"/>
      <c r="N53" s="298">
        <v>0.5</v>
      </c>
      <c r="O53" s="298">
        <v>0.05</v>
      </c>
    </row>
    <row r="54" spans="2:15" ht="15.5">
      <c r="B54" s="418"/>
      <c r="C54" s="298">
        <v>0.4</v>
      </c>
      <c r="D54" s="298">
        <v>0.5</v>
      </c>
      <c r="E54" s="298">
        <v>0.4</v>
      </c>
      <c r="F54" s="298">
        <v>0.5</v>
      </c>
      <c r="G54" s="298">
        <v>0.4</v>
      </c>
      <c r="H54" s="298">
        <v>0.5</v>
      </c>
      <c r="I54" s="298">
        <v>0.4</v>
      </c>
      <c r="J54" s="298">
        <v>0.5</v>
      </c>
      <c r="K54" s="298">
        <v>0.4</v>
      </c>
      <c r="L54" s="298">
        <v>0.5</v>
      </c>
      <c r="M54" s="298">
        <v>0.4</v>
      </c>
      <c r="N54" s="298">
        <v>0.5</v>
      </c>
      <c r="O54" s="298">
        <v>0.04</v>
      </c>
    </row>
    <row r="55" spans="2:15" ht="15.5">
      <c r="B55" s="418"/>
      <c r="C55" s="298">
        <v>0.3</v>
      </c>
      <c r="D55" s="298">
        <f>C54</f>
        <v>0.4</v>
      </c>
      <c r="E55" s="298">
        <v>0.3</v>
      </c>
      <c r="F55" s="298">
        <f>E54</f>
        <v>0.4</v>
      </c>
      <c r="G55" s="298">
        <v>0.3</v>
      </c>
      <c r="H55" s="298">
        <f>G54</f>
        <v>0.4</v>
      </c>
      <c r="I55" s="298">
        <v>0.3</v>
      </c>
      <c r="J55" s="298">
        <f>I54</f>
        <v>0.4</v>
      </c>
      <c r="K55" s="298">
        <v>0.3</v>
      </c>
      <c r="L55" s="298">
        <f>K54</f>
        <v>0.4</v>
      </c>
      <c r="M55" s="298">
        <v>0.3</v>
      </c>
      <c r="N55" s="298">
        <f>M54</f>
        <v>0.4</v>
      </c>
      <c r="O55" s="298">
        <v>0.03</v>
      </c>
    </row>
    <row r="56" spans="2:15" ht="15.5">
      <c r="B56" s="418"/>
      <c r="C56" s="298">
        <v>0.2</v>
      </c>
      <c r="D56" s="298">
        <f t="shared" ref="D56:D57" si="21">C55</f>
        <v>0.3</v>
      </c>
      <c r="E56" s="298">
        <v>0.2</v>
      </c>
      <c r="F56" s="298">
        <f t="shared" ref="F56:F57" si="22">E55</f>
        <v>0.3</v>
      </c>
      <c r="G56" s="298">
        <v>0.2</v>
      </c>
      <c r="H56" s="298">
        <f t="shared" ref="H56:H57" si="23">G55</f>
        <v>0.3</v>
      </c>
      <c r="I56" s="298">
        <v>0.2</v>
      </c>
      <c r="J56" s="298">
        <f t="shared" ref="J56:J57" si="24">I55</f>
        <v>0.3</v>
      </c>
      <c r="K56" s="298">
        <v>0.2</v>
      </c>
      <c r="L56" s="298">
        <f t="shared" ref="L56:L57" si="25">K55</f>
        <v>0.3</v>
      </c>
      <c r="M56" s="298">
        <v>0.2</v>
      </c>
      <c r="N56" s="298">
        <f t="shared" ref="N56:N57" si="26">M55</f>
        <v>0.3</v>
      </c>
      <c r="O56" s="298">
        <v>0.02</v>
      </c>
    </row>
    <row r="57" spans="2:15" ht="15.5">
      <c r="B57" s="418"/>
      <c r="C57" s="297"/>
      <c r="D57" s="298">
        <f t="shared" si="21"/>
        <v>0.2</v>
      </c>
      <c r="E57" s="297"/>
      <c r="F57" s="298">
        <f t="shared" si="22"/>
        <v>0.2</v>
      </c>
      <c r="G57" s="297"/>
      <c r="H57" s="298">
        <f t="shared" si="23"/>
        <v>0.2</v>
      </c>
      <c r="I57" s="297"/>
      <c r="J57" s="298">
        <f t="shared" si="24"/>
        <v>0.2</v>
      </c>
      <c r="K57" s="297"/>
      <c r="L57" s="298">
        <f t="shared" si="25"/>
        <v>0.2</v>
      </c>
      <c r="M57" s="297"/>
      <c r="N57" s="298">
        <f t="shared" si="26"/>
        <v>0.2</v>
      </c>
      <c r="O57" s="298">
        <v>0</v>
      </c>
    </row>
    <row r="58" spans="2:15">
      <c r="O58" s="1">
        <f>O53+O52+O46+O40+O35+O30+O25+O19+O13+O9+O5</f>
        <v>0.4</v>
      </c>
    </row>
  </sheetData>
  <sheetProtection sheet="1" formatCells="0" formatColumns="0" formatRows="0" insertColumns="0" insertRows="0" insertHyperlinks="0" deleteColumns="0" deleteRows="0" sort="0" autoFilter="0" pivotTables="0"/>
  <mergeCells count="21">
    <mergeCell ref="B53:B57"/>
    <mergeCell ref="B19:B24"/>
    <mergeCell ref="B35:B39"/>
    <mergeCell ref="B30:B34"/>
    <mergeCell ref="B46:B49"/>
    <mergeCell ref="B25:B29"/>
    <mergeCell ref="B40:B44"/>
    <mergeCell ref="C2:O2"/>
    <mergeCell ref="B9:B12"/>
    <mergeCell ref="B13:B17"/>
    <mergeCell ref="B4:O4"/>
    <mergeCell ref="B50:B52"/>
    <mergeCell ref="B45:O45"/>
    <mergeCell ref="B18:O18"/>
    <mergeCell ref="C3:D3"/>
    <mergeCell ref="E3:F3"/>
    <mergeCell ref="G3:H3"/>
    <mergeCell ref="I3:J3"/>
    <mergeCell ref="M3:N3"/>
    <mergeCell ref="K3:L3"/>
    <mergeCell ref="B5:B8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B1:F80"/>
  <sheetViews>
    <sheetView workbookViewId="0">
      <selection activeCell="I8" sqref="I8"/>
    </sheetView>
  </sheetViews>
  <sheetFormatPr defaultRowHeight="14"/>
  <cols>
    <col min="1" max="2" width="8.7265625" style="26"/>
    <col min="3" max="4" width="18.90625" style="26" customWidth="1"/>
    <col min="5" max="5" width="46" style="26" customWidth="1"/>
    <col min="6" max="6" width="12.36328125" style="74" customWidth="1"/>
    <col min="7" max="16384" width="8.7265625" style="26"/>
  </cols>
  <sheetData>
    <row r="1" spans="2:6" ht="15.5">
      <c r="B1" s="14" t="s">
        <v>30</v>
      </c>
      <c r="C1" s="14" t="s">
        <v>19</v>
      </c>
      <c r="D1" s="14"/>
      <c r="E1" s="43" t="s">
        <v>20</v>
      </c>
      <c r="F1" s="43" t="s">
        <v>2</v>
      </c>
    </row>
    <row r="2" spans="2:6" ht="15.5">
      <c r="B2" s="400" t="s">
        <v>122</v>
      </c>
      <c r="C2" s="400"/>
      <c r="D2" s="400"/>
      <c r="E2" s="400"/>
      <c r="F2" s="400"/>
    </row>
    <row r="3" spans="2:6" ht="15.5" customHeight="1">
      <c r="B3" s="39">
        <v>1</v>
      </c>
      <c r="C3" s="400" t="s">
        <v>113</v>
      </c>
      <c r="D3" s="400"/>
      <c r="E3" s="400"/>
      <c r="F3" s="43"/>
    </row>
    <row r="4" spans="2:6" ht="15.5">
      <c r="B4" s="402"/>
      <c r="C4" s="400" t="s">
        <v>276</v>
      </c>
      <c r="D4" s="43"/>
      <c r="E4" s="29" t="s">
        <v>269</v>
      </c>
      <c r="F4" s="19">
        <v>0.04</v>
      </c>
    </row>
    <row r="5" spans="2:6" ht="15.5">
      <c r="B5" s="402"/>
      <c r="C5" s="400"/>
      <c r="D5" s="43"/>
      <c r="E5" s="29" t="s">
        <v>270</v>
      </c>
      <c r="F5" s="19">
        <v>0.01</v>
      </c>
    </row>
    <row r="6" spans="2:6" ht="15.5">
      <c r="B6" s="402"/>
      <c r="C6" s="400"/>
      <c r="D6" s="43"/>
      <c r="E6" s="29" t="s">
        <v>271</v>
      </c>
      <c r="F6" s="19">
        <v>0</v>
      </c>
    </row>
    <row r="7" spans="2:6" ht="15.5">
      <c r="B7" s="402"/>
      <c r="C7" s="400"/>
      <c r="D7" s="43"/>
      <c r="E7" s="29" t="s">
        <v>91</v>
      </c>
      <c r="F7" s="19">
        <v>0</v>
      </c>
    </row>
    <row r="8" spans="2:6" ht="15.5">
      <c r="B8" s="402"/>
      <c r="C8" s="400"/>
      <c r="D8" s="43"/>
      <c r="E8" s="29" t="s">
        <v>92</v>
      </c>
      <c r="F8" s="19">
        <v>0</v>
      </c>
    </row>
    <row r="9" spans="2:6" ht="15.5" customHeight="1">
      <c r="B9" s="402"/>
      <c r="C9" s="14" t="s">
        <v>31</v>
      </c>
      <c r="D9" s="14"/>
      <c r="E9" s="39"/>
      <c r="F9" s="44"/>
    </row>
    <row r="10" spans="2:6" ht="15.5">
      <c r="B10" s="402"/>
      <c r="C10" s="397" t="s">
        <v>274</v>
      </c>
      <c r="D10" s="38"/>
      <c r="E10" s="4">
        <v>0.85</v>
      </c>
      <c r="F10" s="19">
        <v>0.03</v>
      </c>
    </row>
    <row r="11" spans="2:6" ht="15.5">
      <c r="B11" s="402"/>
      <c r="C11" s="397"/>
      <c r="D11" s="4">
        <v>0.6</v>
      </c>
      <c r="E11" s="4">
        <v>0.85</v>
      </c>
      <c r="F11" s="19">
        <v>0.02</v>
      </c>
    </row>
    <row r="12" spans="2:6" ht="15.5">
      <c r="B12" s="402"/>
      <c r="C12" s="397"/>
      <c r="D12" s="38"/>
      <c r="E12" s="4">
        <v>0.6</v>
      </c>
      <c r="F12" s="19">
        <v>0.01</v>
      </c>
    </row>
    <row r="13" spans="2:6" ht="15.5">
      <c r="B13" s="402"/>
      <c r="C13" s="397" t="s">
        <v>275</v>
      </c>
      <c r="D13" s="38"/>
      <c r="E13" s="18">
        <v>0</v>
      </c>
      <c r="F13" s="19">
        <v>0.04</v>
      </c>
    </row>
    <row r="14" spans="2:6" ht="15.5">
      <c r="B14" s="402"/>
      <c r="C14" s="397"/>
      <c r="D14" s="4">
        <v>0.04</v>
      </c>
      <c r="E14" s="18">
        <v>0</v>
      </c>
      <c r="F14" s="19">
        <v>0.02</v>
      </c>
    </row>
    <row r="15" spans="2:6" ht="15.5">
      <c r="B15" s="402"/>
      <c r="C15" s="397"/>
      <c r="D15" s="38"/>
      <c r="E15" s="18">
        <v>0.04</v>
      </c>
      <c r="F15" s="19">
        <v>0</v>
      </c>
    </row>
    <row r="16" spans="2:6" ht="15.5">
      <c r="B16" s="402"/>
      <c r="C16" s="397" t="s">
        <v>273</v>
      </c>
      <c r="D16" s="38"/>
      <c r="E16" s="16">
        <v>4</v>
      </c>
      <c r="F16" s="19">
        <v>0.1</v>
      </c>
    </row>
    <row r="17" spans="2:6" ht="15.5">
      <c r="B17" s="402"/>
      <c r="C17" s="397"/>
      <c r="D17" s="16">
        <v>2.5</v>
      </c>
      <c r="E17" s="16">
        <v>4</v>
      </c>
      <c r="F17" s="19">
        <v>7.0000000000000007E-2</v>
      </c>
    </row>
    <row r="18" spans="2:6" ht="15.5">
      <c r="B18" s="402"/>
      <c r="C18" s="397"/>
      <c r="D18" s="16">
        <v>1</v>
      </c>
      <c r="E18" s="16">
        <v>2.5</v>
      </c>
      <c r="F18" s="19">
        <v>0.03</v>
      </c>
    </row>
    <row r="19" spans="2:6" ht="15.5">
      <c r="B19" s="402"/>
      <c r="C19" s="397"/>
      <c r="D19" s="38"/>
      <c r="E19" s="16">
        <v>1</v>
      </c>
      <c r="F19" s="19">
        <v>0</v>
      </c>
    </row>
    <row r="20" spans="2:6" ht="15.5">
      <c r="B20" s="38">
        <v>2</v>
      </c>
      <c r="C20" s="420" t="s">
        <v>114</v>
      </c>
      <c r="D20" s="420"/>
      <c r="E20" s="420"/>
      <c r="F20" s="43"/>
    </row>
    <row r="21" spans="2:6" ht="15.5">
      <c r="B21" s="402"/>
      <c r="C21" s="420" t="s">
        <v>277</v>
      </c>
      <c r="D21" s="40"/>
      <c r="E21" s="16" t="s">
        <v>302</v>
      </c>
      <c r="F21" s="19">
        <v>0.21</v>
      </c>
    </row>
    <row r="22" spans="2:6" ht="15.5">
      <c r="B22" s="402"/>
      <c r="C22" s="420"/>
      <c r="D22" s="40"/>
      <c r="E22" s="16" t="s">
        <v>303</v>
      </c>
      <c r="F22" s="19">
        <v>0.1</v>
      </c>
    </row>
    <row r="23" spans="2:6" ht="15.5">
      <c r="B23" s="402"/>
      <c r="C23" s="420"/>
      <c r="D23" s="40"/>
      <c r="E23" s="16" t="s">
        <v>304</v>
      </c>
      <c r="F23" s="19">
        <v>0.03</v>
      </c>
    </row>
    <row r="24" spans="2:6" ht="15.5">
      <c r="B24" s="402"/>
      <c r="C24" s="420"/>
      <c r="D24" s="40"/>
      <c r="E24" s="16" t="s">
        <v>305</v>
      </c>
      <c r="F24" s="19">
        <v>0</v>
      </c>
    </row>
    <row r="25" spans="2:6" ht="15.5">
      <c r="B25" s="39">
        <v>3</v>
      </c>
      <c r="C25" s="420" t="s">
        <v>115</v>
      </c>
      <c r="D25" s="420"/>
      <c r="E25" s="420"/>
      <c r="F25" s="43"/>
    </row>
    <row r="26" spans="2:6" ht="15.5" customHeight="1">
      <c r="B26" s="397"/>
      <c r="C26" s="420" t="s">
        <v>116</v>
      </c>
      <c r="D26" s="40"/>
      <c r="E26" s="16" t="s">
        <v>35</v>
      </c>
      <c r="F26" s="19">
        <v>0.21</v>
      </c>
    </row>
    <row r="27" spans="2:6" ht="15.5">
      <c r="B27" s="397"/>
      <c r="C27" s="420"/>
      <c r="D27" s="40"/>
      <c r="E27" s="16" t="s">
        <v>124</v>
      </c>
      <c r="F27" s="19">
        <v>0.1</v>
      </c>
    </row>
    <row r="28" spans="2:6" ht="15.5">
      <c r="B28" s="397"/>
      <c r="C28" s="420"/>
      <c r="D28" s="40"/>
      <c r="E28" s="16" t="s">
        <v>125</v>
      </c>
      <c r="F28" s="19">
        <v>0.03</v>
      </c>
    </row>
    <row r="29" spans="2:6" ht="15.5">
      <c r="B29" s="397"/>
      <c r="C29" s="420"/>
      <c r="D29" s="40"/>
      <c r="E29" s="16" t="s">
        <v>126</v>
      </c>
      <c r="F29" s="19">
        <v>0</v>
      </c>
    </row>
    <row r="30" spans="2:6" ht="15.5" customHeight="1">
      <c r="B30" s="39">
        <v>4</v>
      </c>
      <c r="C30" s="420" t="s">
        <v>117</v>
      </c>
      <c r="D30" s="420"/>
      <c r="E30" s="420"/>
      <c r="F30" s="43"/>
    </row>
    <row r="31" spans="2:6" ht="15.5">
      <c r="B31" s="397"/>
      <c r="C31" s="397" t="s">
        <v>278</v>
      </c>
      <c r="D31" s="38"/>
      <c r="E31" s="16" t="s">
        <v>33</v>
      </c>
      <c r="F31" s="19">
        <v>0.08</v>
      </c>
    </row>
    <row r="32" spans="2:6" ht="15.5">
      <c r="B32" s="397"/>
      <c r="C32" s="397"/>
      <c r="D32" s="38"/>
      <c r="E32" s="16" t="s">
        <v>280</v>
      </c>
      <c r="F32" s="19">
        <v>0.04</v>
      </c>
    </row>
    <row r="33" spans="2:6" ht="15.5">
      <c r="B33" s="397"/>
      <c r="C33" s="397"/>
      <c r="D33" s="38"/>
      <c r="E33" s="16" t="s">
        <v>282</v>
      </c>
      <c r="F33" s="19">
        <v>0.01</v>
      </c>
    </row>
    <row r="34" spans="2:6" ht="15.5">
      <c r="B34" s="397"/>
      <c r="C34" s="397"/>
      <c r="D34" s="38"/>
      <c r="E34" s="16" t="s">
        <v>281</v>
      </c>
      <c r="F34" s="19">
        <v>0</v>
      </c>
    </row>
    <row r="35" spans="2:6" ht="15.5">
      <c r="B35" s="397"/>
      <c r="C35" s="397" t="s">
        <v>279</v>
      </c>
      <c r="D35" s="38"/>
      <c r="E35" s="16">
        <v>3</v>
      </c>
      <c r="F35" s="25">
        <v>0.13</v>
      </c>
    </row>
    <row r="36" spans="2:6" ht="15.5">
      <c r="B36" s="397"/>
      <c r="C36" s="397"/>
      <c r="D36" s="16">
        <v>2</v>
      </c>
      <c r="E36" s="16">
        <v>3</v>
      </c>
      <c r="F36" s="25">
        <v>0.1</v>
      </c>
    </row>
    <row r="37" spans="2:6" ht="15.5">
      <c r="B37" s="397"/>
      <c r="C37" s="397"/>
      <c r="D37" s="16">
        <v>1.25</v>
      </c>
      <c r="E37" s="16">
        <v>2</v>
      </c>
      <c r="F37" s="25">
        <v>0.05</v>
      </c>
    </row>
    <row r="38" spans="2:6" ht="15.5">
      <c r="B38" s="397"/>
      <c r="C38" s="397"/>
      <c r="D38" s="16">
        <v>0.5</v>
      </c>
      <c r="E38" s="16">
        <v>1.25</v>
      </c>
      <c r="F38" s="25">
        <v>0.01</v>
      </c>
    </row>
    <row r="39" spans="2:6" ht="15.5">
      <c r="B39" s="397"/>
      <c r="C39" s="397"/>
      <c r="D39" s="38"/>
      <c r="E39" s="16">
        <v>0.5</v>
      </c>
      <c r="F39" s="25">
        <v>0</v>
      </c>
    </row>
    <row r="40" spans="2:6" ht="15.5">
      <c r="B40" s="39">
        <v>5</v>
      </c>
      <c r="C40" s="420" t="s">
        <v>118</v>
      </c>
      <c r="D40" s="420"/>
      <c r="E40" s="420"/>
      <c r="F40" s="43"/>
    </row>
    <row r="41" spans="2:6" ht="15.5" customHeight="1">
      <c r="B41" s="397"/>
      <c r="C41" s="397" t="s">
        <v>283</v>
      </c>
      <c r="D41" s="38"/>
      <c r="E41" s="16" t="s">
        <v>33</v>
      </c>
      <c r="F41" s="19">
        <v>0.08</v>
      </c>
    </row>
    <row r="42" spans="2:6" ht="15.5">
      <c r="B42" s="397"/>
      <c r="C42" s="397"/>
      <c r="D42" s="38"/>
      <c r="E42" s="16" t="s">
        <v>280</v>
      </c>
      <c r="F42" s="19">
        <v>0.04</v>
      </c>
    </row>
    <row r="43" spans="2:6" ht="15.5">
      <c r="B43" s="397"/>
      <c r="C43" s="397"/>
      <c r="D43" s="38"/>
      <c r="E43" s="16" t="s">
        <v>282</v>
      </c>
      <c r="F43" s="19">
        <v>0.01</v>
      </c>
    </row>
    <row r="44" spans="2:6" ht="15.5">
      <c r="B44" s="397"/>
      <c r="C44" s="397"/>
      <c r="D44" s="38"/>
      <c r="E44" s="16" t="s">
        <v>281</v>
      </c>
      <c r="F44" s="19">
        <v>0</v>
      </c>
    </row>
    <row r="45" spans="2:6" ht="15.5">
      <c r="B45" s="397"/>
      <c r="C45" s="397" t="s">
        <v>119</v>
      </c>
      <c r="D45" s="38"/>
      <c r="E45" s="16">
        <v>2.5</v>
      </c>
      <c r="F45" s="25">
        <v>0.13</v>
      </c>
    </row>
    <row r="46" spans="2:6" ht="15.5">
      <c r="B46" s="397"/>
      <c r="C46" s="397"/>
      <c r="D46" s="16">
        <v>2</v>
      </c>
      <c r="E46" s="16">
        <v>2.5</v>
      </c>
      <c r="F46" s="25">
        <v>0.1</v>
      </c>
    </row>
    <row r="47" spans="2:6" ht="15.5">
      <c r="B47" s="397"/>
      <c r="C47" s="397"/>
      <c r="D47" s="16">
        <v>1.5</v>
      </c>
      <c r="E47" s="16">
        <v>2</v>
      </c>
      <c r="F47" s="25">
        <v>0.06</v>
      </c>
    </row>
    <row r="48" spans="2:6" ht="15.5">
      <c r="B48" s="397"/>
      <c r="C48" s="397"/>
      <c r="D48" s="16">
        <v>1.25</v>
      </c>
      <c r="E48" s="16">
        <v>1.5</v>
      </c>
      <c r="F48" s="25">
        <v>0.02</v>
      </c>
    </row>
    <row r="49" spans="2:6" ht="15.5">
      <c r="B49" s="397"/>
      <c r="C49" s="397"/>
      <c r="D49" s="16">
        <v>1</v>
      </c>
      <c r="E49" s="16">
        <v>1.25</v>
      </c>
      <c r="F49" s="25">
        <v>0.01</v>
      </c>
    </row>
    <row r="50" spans="2:6" ht="15.5">
      <c r="B50" s="397"/>
      <c r="C50" s="397"/>
      <c r="D50" s="38"/>
      <c r="E50" s="16">
        <v>1</v>
      </c>
      <c r="F50" s="25">
        <v>0</v>
      </c>
    </row>
    <row r="51" spans="2:6" ht="15.5">
      <c r="B51" s="39">
        <v>6</v>
      </c>
      <c r="C51" s="421" t="s">
        <v>120</v>
      </c>
      <c r="D51" s="421"/>
      <c r="E51" s="421"/>
      <c r="F51" s="44"/>
    </row>
    <row r="52" spans="2:6" ht="15.5" customHeight="1">
      <c r="B52" s="397"/>
      <c r="C52" s="397" t="s">
        <v>284</v>
      </c>
      <c r="D52" s="38"/>
      <c r="E52" s="16" t="s">
        <v>32</v>
      </c>
      <c r="F52" s="25">
        <v>0.21</v>
      </c>
    </row>
    <row r="53" spans="2:6" ht="15.5">
      <c r="B53" s="397"/>
      <c r="C53" s="397"/>
      <c r="D53" s="38"/>
      <c r="E53" s="16" t="s">
        <v>34</v>
      </c>
      <c r="F53" s="25">
        <v>0.15</v>
      </c>
    </row>
    <row r="54" spans="2:6" ht="15.5">
      <c r="B54" s="397"/>
      <c r="C54" s="397"/>
      <c r="D54" s="38"/>
      <c r="E54" s="16" t="s">
        <v>35</v>
      </c>
      <c r="F54" s="25">
        <v>0.1</v>
      </c>
    </row>
    <row r="55" spans="2:6" ht="15.5">
      <c r="B55" s="397"/>
      <c r="C55" s="397"/>
      <c r="D55" s="38"/>
      <c r="E55" s="16" t="s">
        <v>36</v>
      </c>
      <c r="F55" s="19">
        <v>0.03</v>
      </c>
    </row>
    <row r="56" spans="2:6" ht="15.5">
      <c r="B56" s="39">
        <v>7</v>
      </c>
      <c r="C56" s="420" t="s">
        <v>121</v>
      </c>
      <c r="D56" s="420"/>
      <c r="E56" s="420"/>
      <c r="F56" s="43"/>
    </row>
    <row r="57" spans="2:6" ht="15.5">
      <c r="B57" s="397"/>
      <c r="C57" s="397" t="s">
        <v>37</v>
      </c>
      <c r="D57" s="38"/>
      <c r="E57" s="16" t="s">
        <v>38</v>
      </c>
      <c r="F57" s="25">
        <v>0.21</v>
      </c>
    </row>
    <row r="58" spans="2:6" ht="15.5">
      <c r="B58" s="397"/>
      <c r="C58" s="397"/>
      <c r="D58" s="38"/>
      <c r="E58" s="16" t="s">
        <v>39</v>
      </c>
      <c r="F58" s="25">
        <v>0.1</v>
      </c>
    </row>
    <row r="59" spans="2:6" ht="15.5">
      <c r="B59" s="397"/>
      <c r="C59" s="397"/>
      <c r="D59" s="38"/>
      <c r="E59" s="16" t="s">
        <v>40</v>
      </c>
      <c r="F59" s="25">
        <v>0</v>
      </c>
    </row>
    <row r="60" spans="2:6" ht="15.5">
      <c r="B60" s="38">
        <v>8</v>
      </c>
      <c r="C60" s="421" t="s">
        <v>287</v>
      </c>
      <c r="D60" s="421"/>
      <c r="E60" s="421"/>
      <c r="F60" s="25"/>
    </row>
    <row r="61" spans="2:6" ht="15.5">
      <c r="B61" s="422"/>
      <c r="C61" s="401" t="s">
        <v>291</v>
      </c>
      <c r="D61" s="29"/>
      <c r="E61" s="16" t="s">
        <v>110</v>
      </c>
      <c r="F61" s="25">
        <v>0.01</v>
      </c>
    </row>
    <row r="62" spans="2:6" ht="15.5">
      <c r="B62" s="422"/>
      <c r="C62" s="401"/>
      <c r="D62" s="29"/>
      <c r="E62" s="16" t="s">
        <v>111</v>
      </c>
      <c r="F62" s="76">
        <v>7.4999999999999997E-3</v>
      </c>
    </row>
    <row r="63" spans="2:6" ht="15.5">
      <c r="B63" s="422"/>
      <c r="C63" s="401"/>
      <c r="D63" s="29"/>
      <c r="E63" s="16" t="s">
        <v>112</v>
      </c>
      <c r="F63" s="75">
        <v>5.0000000000000001E-3</v>
      </c>
    </row>
    <row r="64" spans="2:6" ht="15.5">
      <c r="B64" s="422"/>
      <c r="C64" s="401"/>
      <c r="D64" s="29"/>
      <c r="E64" s="16" t="s">
        <v>288</v>
      </c>
      <c r="F64" s="76">
        <v>2.5000000000000001E-3</v>
      </c>
    </row>
    <row r="65" spans="2:6" ht="15.5">
      <c r="B65" s="38">
        <v>9</v>
      </c>
      <c r="C65" s="421" t="s">
        <v>289</v>
      </c>
      <c r="D65" s="421"/>
      <c r="E65" s="421"/>
      <c r="F65" s="25"/>
    </row>
    <row r="66" spans="2:6" ht="15.5">
      <c r="B66" s="402"/>
      <c r="C66" s="420" t="s">
        <v>290</v>
      </c>
      <c r="D66" s="40"/>
      <c r="E66" s="16" t="s">
        <v>306</v>
      </c>
      <c r="F66" s="19">
        <v>0.01</v>
      </c>
    </row>
    <row r="67" spans="2:6" ht="31">
      <c r="B67" s="402"/>
      <c r="C67" s="420"/>
      <c r="D67" s="40"/>
      <c r="E67" s="16" t="s">
        <v>307</v>
      </c>
      <c r="F67" s="75">
        <v>5.0000000000000001E-3</v>
      </c>
    </row>
    <row r="68" spans="2:6" ht="15.5">
      <c r="B68" s="402"/>
      <c r="C68" s="420"/>
      <c r="D68" s="40"/>
      <c r="E68" s="16" t="s">
        <v>308</v>
      </c>
      <c r="F68" s="133">
        <v>2.5000000000000001E-3</v>
      </c>
    </row>
    <row r="69" spans="2:6" ht="31">
      <c r="B69" s="402"/>
      <c r="C69" s="420"/>
      <c r="D69" s="40"/>
      <c r="E69" s="16" t="s">
        <v>309</v>
      </c>
      <c r="F69" s="19">
        <v>0</v>
      </c>
    </row>
    <row r="70" spans="2:6" ht="15.5">
      <c r="B70" s="38">
        <v>10</v>
      </c>
      <c r="C70" s="421" t="s">
        <v>286</v>
      </c>
      <c r="D70" s="421"/>
      <c r="E70" s="421"/>
      <c r="F70" s="25"/>
    </row>
    <row r="71" spans="2:6" ht="15.5">
      <c r="B71" s="402"/>
      <c r="C71" s="420" t="s">
        <v>293</v>
      </c>
      <c r="D71" s="40"/>
      <c r="E71" s="16" t="s">
        <v>292</v>
      </c>
      <c r="F71" s="19">
        <v>0.02</v>
      </c>
    </row>
    <row r="72" spans="2:6" ht="15.5">
      <c r="B72" s="402"/>
      <c r="C72" s="420"/>
      <c r="D72" s="40"/>
      <c r="E72" s="16" t="s">
        <v>247</v>
      </c>
      <c r="F72" s="75">
        <v>1.4999999999999999E-2</v>
      </c>
    </row>
    <row r="73" spans="2:6" ht="15.5">
      <c r="B73" s="402"/>
      <c r="C73" s="420"/>
      <c r="D73" s="40"/>
      <c r="E73" s="16" t="s">
        <v>294</v>
      </c>
      <c r="F73" s="134">
        <v>0.01</v>
      </c>
    </row>
    <row r="74" spans="2:6" ht="15.5">
      <c r="B74" s="402"/>
      <c r="C74" s="420"/>
      <c r="D74" s="40"/>
      <c r="E74" s="16" t="s">
        <v>295</v>
      </c>
      <c r="F74" s="19">
        <v>0</v>
      </c>
    </row>
    <row r="75" spans="2:6" ht="15.5">
      <c r="B75" s="170">
        <v>11</v>
      </c>
      <c r="C75" s="423" t="s">
        <v>465</v>
      </c>
      <c r="D75" s="424"/>
      <c r="E75" s="425"/>
      <c r="F75" s="19"/>
    </row>
    <row r="76" spans="2:6" ht="15.5" customHeight="1">
      <c r="B76" s="426"/>
      <c r="C76" s="400" t="s">
        <v>464</v>
      </c>
      <c r="D76" s="43"/>
      <c r="E76" s="19">
        <v>1</v>
      </c>
      <c r="F76" s="19">
        <v>0.04</v>
      </c>
    </row>
    <row r="77" spans="2:6" ht="15.5">
      <c r="B77" s="427"/>
      <c r="C77" s="400"/>
      <c r="D77" s="19">
        <v>0.75</v>
      </c>
      <c r="E77" s="19">
        <f>E76</f>
        <v>1</v>
      </c>
      <c r="F77" s="19">
        <v>0.03</v>
      </c>
    </row>
    <row r="78" spans="2:6" ht="15.5">
      <c r="B78" s="427"/>
      <c r="C78" s="400"/>
      <c r="D78" s="19">
        <v>0.5</v>
      </c>
      <c r="E78" s="19">
        <f>D77</f>
        <v>0.75</v>
      </c>
      <c r="F78" s="19">
        <v>0.02</v>
      </c>
    </row>
    <row r="79" spans="2:6" ht="15.5">
      <c r="B79" s="427"/>
      <c r="C79" s="400"/>
      <c r="D79" s="19">
        <v>0.25</v>
      </c>
      <c r="E79" s="19">
        <f t="shared" ref="E79:E80" si="0">D78</f>
        <v>0.5</v>
      </c>
      <c r="F79" s="19">
        <v>0.01</v>
      </c>
    </row>
    <row r="80" spans="2:6" ht="15.5">
      <c r="B80" s="428"/>
      <c r="C80" s="400"/>
      <c r="D80" s="27"/>
      <c r="E80" s="19">
        <f t="shared" si="0"/>
        <v>0.25</v>
      </c>
      <c r="F80" s="19">
        <v>0</v>
      </c>
    </row>
  </sheetData>
  <sheetProtection sheet="1" formatCells="0" formatColumns="0" formatRows="0" insertColumns="0" insertRows="0" insertHyperlinks="0" deleteColumns="0" deleteRows="0" sort="0" autoFilter="0" pivotTables="0"/>
  <mergeCells count="39">
    <mergeCell ref="C76:C80"/>
    <mergeCell ref="C75:E75"/>
    <mergeCell ref="B76:B80"/>
    <mergeCell ref="B71:B74"/>
    <mergeCell ref="C71:C74"/>
    <mergeCell ref="C70:E70"/>
    <mergeCell ref="B61:B64"/>
    <mergeCell ref="C60:E60"/>
    <mergeCell ref="C61:C64"/>
    <mergeCell ref="C51:E51"/>
    <mergeCell ref="B52:B55"/>
    <mergeCell ref="C57:C59"/>
    <mergeCell ref="B57:B59"/>
    <mergeCell ref="C56:E56"/>
    <mergeCell ref="B21:B24"/>
    <mergeCell ref="C66:C69"/>
    <mergeCell ref="C65:E65"/>
    <mergeCell ref="B66:B69"/>
    <mergeCell ref="B41:B50"/>
    <mergeCell ref="C40:E40"/>
    <mergeCell ref="C41:C44"/>
    <mergeCell ref="C45:C50"/>
    <mergeCell ref="C52:C55"/>
    <mergeCell ref="B2:F2"/>
    <mergeCell ref="C31:C34"/>
    <mergeCell ref="C30:E30"/>
    <mergeCell ref="C25:E25"/>
    <mergeCell ref="B26:B29"/>
    <mergeCell ref="B31:B39"/>
    <mergeCell ref="C26:C29"/>
    <mergeCell ref="C3:E3"/>
    <mergeCell ref="B4:B19"/>
    <mergeCell ref="C4:C8"/>
    <mergeCell ref="C21:C24"/>
    <mergeCell ref="C10:C12"/>
    <mergeCell ref="C13:C15"/>
    <mergeCell ref="C16:C19"/>
    <mergeCell ref="C20:E20"/>
    <mergeCell ref="C35:C39"/>
  </mergeCells>
  <phoneticPr fontId="33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B2:E16"/>
  <sheetViews>
    <sheetView workbookViewId="0">
      <selection activeCell="J9" sqref="J9"/>
    </sheetView>
  </sheetViews>
  <sheetFormatPr defaultRowHeight="14.5"/>
  <cols>
    <col min="3" max="3" width="17.453125" customWidth="1"/>
    <col min="4" max="4" width="36.90625" customWidth="1"/>
    <col min="5" max="5" width="12.90625" customWidth="1"/>
  </cols>
  <sheetData>
    <row r="2" spans="2:5">
      <c r="B2" s="8"/>
    </row>
    <row r="3" spans="2:5" ht="15.5">
      <c r="B3" s="429" t="s">
        <v>107</v>
      </c>
      <c r="C3" s="429"/>
      <c r="D3" s="429"/>
      <c r="E3" s="429"/>
    </row>
    <row r="4" spans="2:5" ht="15.5">
      <c r="B4" s="13" t="s">
        <v>48</v>
      </c>
      <c r="C4" s="2" t="s">
        <v>19</v>
      </c>
      <c r="D4" s="2" t="s">
        <v>20</v>
      </c>
      <c r="E4" s="2" t="s">
        <v>2</v>
      </c>
    </row>
    <row r="5" spans="2:5" ht="15" customHeight="1">
      <c r="B5" s="430">
        <v>1</v>
      </c>
      <c r="C5" s="430" t="s">
        <v>53</v>
      </c>
      <c r="D5" s="15" t="s">
        <v>49</v>
      </c>
      <c r="E5" s="3">
        <v>0.04</v>
      </c>
    </row>
    <row r="6" spans="2:5" ht="15.5">
      <c r="B6" s="430"/>
      <c r="C6" s="430"/>
      <c r="D6" s="36" t="s">
        <v>50</v>
      </c>
      <c r="E6" s="3">
        <v>0.03</v>
      </c>
    </row>
    <row r="7" spans="2:5" ht="15.75" customHeight="1">
      <c r="B7" s="430"/>
      <c r="C7" s="430"/>
      <c r="D7" s="36" t="s">
        <v>51</v>
      </c>
      <c r="E7" s="3">
        <v>0.02</v>
      </c>
    </row>
    <row r="8" spans="2:5" ht="15.5">
      <c r="B8" s="430"/>
      <c r="C8" s="430"/>
      <c r="D8" s="36" t="s">
        <v>52</v>
      </c>
      <c r="E8" s="3">
        <v>0.01</v>
      </c>
    </row>
    <row r="9" spans="2:5" ht="46.5">
      <c r="B9" s="430">
        <v>2</v>
      </c>
      <c r="C9" s="430" t="s">
        <v>239</v>
      </c>
      <c r="D9" s="37" t="s">
        <v>171</v>
      </c>
      <c r="E9" s="3">
        <v>0.02</v>
      </c>
    </row>
    <row r="10" spans="2:5" ht="46.5">
      <c r="B10" s="430"/>
      <c r="C10" s="430"/>
      <c r="D10" s="37" t="s">
        <v>172</v>
      </c>
      <c r="E10" s="71">
        <v>1.4999999999999999E-2</v>
      </c>
    </row>
    <row r="11" spans="2:5" ht="46.5">
      <c r="B11" s="430"/>
      <c r="C11" s="430"/>
      <c r="D11" s="37" t="s">
        <v>173</v>
      </c>
      <c r="E11" s="71">
        <v>0.01</v>
      </c>
    </row>
    <row r="12" spans="2:5" ht="46.5">
      <c r="B12" s="430"/>
      <c r="C12" s="430"/>
      <c r="D12" s="37" t="s">
        <v>174</v>
      </c>
      <c r="E12" s="71">
        <v>5.0000000000000001E-3</v>
      </c>
    </row>
    <row r="13" spans="2:5" ht="46.5">
      <c r="B13" s="431">
        <v>3</v>
      </c>
      <c r="C13" s="430" t="s">
        <v>300</v>
      </c>
      <c r="D13" s="37" t="s">
        <v>54</v>
      </c>
      <c r="E13" s="3">
        <v>0.03</v>
      </c>
    </row>
    <row r="14" spans="2:5" ht="46.5">
      <c r="B14" s="431"/>
      <c r="C14" s="430"/>
      <c r="D14" s="37" t="s">
        <v>55</v>
      </c>
      <c r="E14" s="3">
        <v>0.02</v>
      </c>
    </row>
    <row r="15" spans="2:5" ht="36" customHeight="1">
      <c r="B15" s="431"/>
      <c r="C15" s="430"/>
      <c r="D15" s="37" t="s">
        <v>57</v>
      </c>
      <c r="E15" s="3">
        <v>0</v>
      </c>
    </row>
    <row r="16" spans="2:5">
      <c r="B16" s="8"/>
      <c r="E16" s="1">
        <f>E13+E9+E5</f>
        <v>0.09</v>
      </c>
    </row>
  </sheetData>
  <sheetProtection sheet="1" formatCells="0" formatColumns="0" formatRows="0" insertColumns="0" insertRows="0" insertHyperlinks="0" deleteColumns="0" deleteRows="0" sort="0" autoFilter="0" pivotTables="0"/>
  <mergeCells count="7">
    <mergeCell ref="B3:E3"/>
    <mergeCell ref="C5:C8"/>
    <mergeCell ref="C13:C15"/>
    <mergeCell ref="B13:B15"/>
    <mergeCell ref="B5:B8"/>
    <mergeCell ref="B9:B12"/>
    <mergeCell ref="C9:C12"/>
  </mergeCell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B2:K54"/>
  <sheetViews>
    <sheetView workbookViewId="0">
      <selection activeCell="G8" sqref="G8"/>
    </sheetView>
  </sheetViews>
  <sheetFormatPr defaultRowHeight="14.5"/>
  <cols>
    <col min="2" max="2" width="19.453125" customWidth="1"/>
    <col min="3" max="3" width="6.453125" bestFit="1" customWidth="1"/>
    <col min="4" max="4" width="26.36328125" bestFit="1" customWidth="1"/>
    <col min="5" max="5" width="16.90625" customWidth="1"/>
    <col min="11" max="11" width="12.54296875" bestFit="1" customWidth="1"/>
  </cols>
  <sheetData>
    <row r="2" spans="2:5">
      <c r="B2" s="8"/>
      <c r="C2" s="8"/>
    </row>
    <row r="3" spans="2:5" ht="16" thickBot="1">
      <c r="B3" s="437" t="s">
        <v>69</v>
      </c>
      <c r="C3" s="437"/>
      <c r="D3" s="437"/>
      <c r="E3" s="26"/>
    </row>
    <row r="4" spans="2:5" ht="16" thickBot="1">
      <c r="B4" s="438" t="s">
        <v>70</v>
      </c>
      <c r="C4" s="163"/>
      <c r="D4" s="164" t="s">
        <v>71</v>
      </c>
      <c r="E4" s="162" t="s">
        <v>2</v>
      </c>
    </row>
    <row r="5" spans="2:5" ht="16" thickBot="1">
      <c r="B5" s="433"/>
      <c r="C5" s="161"/>
      <c r="D5" s="131" t="s">
        <v>372</v>
      </c>
      <c r="E5" s="160">
        <v>0.2</v>
      </c>
    </row>
    <row r="6" spans="2:5" ht="16" thickBot="1">
      <c r="B6" s="433"/>
      <c r="C6" s="158"/>
      <c r="D6" s="131" t="s">
        <v>373</v>
      </c>
      <c r="E6" s="160">
        <v>0.2</v>
      </c>
    </row>
    <row r="7" spans="2:5" ht="16" thickBot="1">
      <c r="B7" s="433"/>
      <c r="C7" s="158"/>
      <c r="D7" s="131" t="s">
        <v>376</v>
      </c>
      <c r="E7" s="160">
        <v>0.18</v>
      </c>
    </row>
    <row r="8" spans="2:5" ht="16" thickBot="1">
      <c r="B8" s="433"/>
      <c r="C8" s="158"/>
      <c r="D8" s="131" t="s">
        <v>374</v>
      </c>
      <c r="E8" s="160">
        <v>0.15</v>
      </c>
    </row>
    <row r="9" spans="2:5" ht="16" thickBot="1">
      <c r="B9" s="433"/>
      <c r="C9" s="158"/>
      <c r="D9" s="131" t="s">
        <v>375</v>
      </c>
      <c r="E9" s="160">
        <v>0.15</v>
      </c>
    </row>
    <row r="10" spans="2:5" ht="16" thickBot="1">
      <c r="B10" s="433"/>
      <c r="C10" s="158"/>
      <c r="D10" s="131" t="s">
        <v>378</v>
      </c>
      <c r="E10" s="160">
        <v>0.13</v>
      </c>
    </row>
    <row r="11" spans="2:5" ht="16" thickBot="1">
      <c r="B11" s="433"/>
      <c r="C11" s="158"/>
      <c r="D11" s="131" t="s">
        <v>377</v>
      </c>
      <c r="E11" s="160">
        <v>0.15</v>
      </c>
    </row>
    <row r="12" spans="2:5" ht="16" thickBot="1">
      <c r="B12" s="433"/>
      <c r="C12" s="158"/>
      <c r="D12" s="131" t="s">
        <v>382</v>
      </c>
      <c r="E12" s="160">
        <v>0.15</v>
      </c>
    </row>
    <row r="13" spans="2:5" ht="16" thickBot="1">
      <c r="B13" s="433"/>
      <c r="C13" s="158"/>
      <c r="D13" s="131" t="s">
        <v>379</v>
      </c>
      <c r="E13" s="160">
        <v>0.2</v>
      </c>
    </row>
    <row r="14" spans="2:5" ht="16" thickBot="1">
      <c r="B14" s="433"/>
      <c r="C14" s="158"/>
      <c r="D14" s="131" t="s">
        <v>380</v>
      </c>
      <c r="E14" s="160">
        <v>0.2</v>
      </c>
    </row>
    <row r="15" spans="2:5" ht="16" thickBot="1">
      <c r="B15" s="433"/>
      <c r="C15" s="158"/>
      <c r="D15" s="131" t="s">
        <v>381</v>
      </c>
      <c r="E15" s="160">
        <v>0</v>
      </c>
    </row>
    <row r="16" spans="2:5" ht="16" thickBot="1">
      <c r="B16" s="433"/>
      <c r="C16" s="158"/>
      <c r="D16" s="131" t="s">
        <v>72</v>
      </c>
      <c r="E16" s="160">
        <v>0</v>
      </c>
    </row>
    <row r="17" spans="2:11" ht="16" thickBot="1">
      <c r="B17" s="433"/>
      <c r="C17" s="158"/>
      <c r="D17" s="131" t="s">
        <v>383</v>
      </c>
      <c r="E17" s="160">
        <v>0.1</v>
      </c>
    </row>
    <row r="18" spans="2:11" ht="16" thickBot="1">
      <c r="B18" s="433"/>
      <c r="C18" s="158"/>
      <c r="D18" s="131" t="s">
        <v>384</v>
      </c>
      <c r="E18" s="160">
        <v>0.12</v>
      </c>
    </row>
    <row r="19" spans="2:11" ht="16" thickBot="1">
      <c r="B19" s="434"/>
      <c r="C19" s="159"/>
      <c r="D19" s="131" t="s">
        <v>73</v>
      </c>
      <c r="E19" s="160">
        <v>0</v>
      </c>
    </row>
    <row r="20" spans="2:11" ht="15.5" customHeight="1" thickBot="1">
      <c r="B20" s="432" t="s">
        <v>74</v>
      </c>
      <c r="C20" s="130"/>
      <c r="D20" s="160">
        <v>1.1000000000000001</v>
      </c>
      <c r="E20" s="160">
        <v>0.8</v>
      </c>
      <c r="K20" s="84"/>
    </row>
    <row r="21" spans="2:11" ht="16" thickBot="1">
      <c r="B21" s="433"/>
      <c r="C21" s="160">
        <v>1</v>
      </c>
      <c r="D21" s="160">
        <f>D20</f>
        <v>1.1000000000000001</v>
      </c>
      <c r="E21" s="160">
        <v>0.7</v>
      </c>
      <c r="K21" s="84"/>
    </row>
    <row r="22" spans="2:11" ht="16" thickBot="1">
      <c r="B22" s="433"/>
      <c r="C22" s="160">
        <v>0.9</v>
      </c>
      <c r="D22" s="160">
        <f>C21</f>
        <v>1</v>
      </c>
      <c r="E22" s="160">
        <v>0.6</v>
      </c>
      <c r="K22" s="150"/>
    </row>
    <row r="23" spans="2:11" ht="16" thickBot="1">
      <c r="B23" s="433"/>
      <c r="C23" s="160">
        <v>0.8</v>
      </c>
      <c r="D23" s="160">
        <f>C22</f>
        <v>0.9</v>
      </c>
      <c r="E23" s="160">
        <v>0.5</v>
      </c>
      <c r="K23" s="150"/>
    </row>
    <row r="24" spans="2:11" ht="16" thickBot="1">
      <c r="B24" s="433"/>
      <c r="C24" s="160">
        <v>0.7</v>
      </c>
      <c r="D24" s="160">
        <f t="shared" ref="D24:D25" si="0">C23</f>
        <v>0.8</v>
      </c>
      <c r="E24" s="160">
        <v>0.4</v>
      </c>
    </row>
    <row r="25" spans="2:11" ht="16" thickBot="1">
      <c r="B25" s="433"/>
      <c r="C25" s="160">
        <v>0.6</v>
      </c>
      <c r="D25" s="160">
        <f t="shared" si="0"/>
        <v>0.7</v>
      </c>
      <c r="E25" s="160">
        <v>0.3</v>
      </c>
    </row>
    <row r="26" spans="2:11" ht="16" thickBot="1">
      <c r="B26" s="433"/>
      <c r="C26" s="160">
        <v>0.5</v>
      </c>
      <c r="D26" s="160">
        <f t="shared" ref="D26:D27" si="1">C25</f>
        <v>0.6</v>
      </c>
      <c r="E26" s="160">
        <v>0.2</v>
      </c>
    </row>
    <row r="27" spans="2:11" ht="16" thickBot="1">
      <c r="B27" s="434"/>
      <c r="C27" s="160"/>
      <c r="D27" s="160">
        <f t="shared" si="1"/>
        <v>0.5</v>
      </c>
      <c r="E27" s="160">
        <v>0</v>
      </c>
    </row>
    <row r="30" spans="2:11" ht="16" thickBot="1">
      <c r="B30" s="437" t="s">
        <v>87</v>
      </c>
      <c r="C30" s="437"/>
      <c r="D30" s="437"/>
      <c r="E30" s="26"/>
    </row>
    <row r="31" spans="2:11" ht="16" thickBot="1">
      <c r="B31" s="438" t="s">
        <v>70</v>
      </c>
      <c r="C31" s="163"/>
      <c r="D31" s="165" t="s">
        <v>71</v>
      </c>
      <c r="E31" s="162" t="s">
        <v>2</v>
      </c>
    </row>
    <row r="32" spans="2:11" ht="16" thickBot="1">
      <c r="B32" s="433"/>
      <c r="C32" s="161"/>
      <c r="D32" s="131" t="str">
        <f>D5</f>
        <v>Cash</v>
      </c>
      <c r="E32" s="160">
        <f>E5</f>
        <v>0.2</v>
      </c>
    </row>
    <row r="33" spans="2:5" ht="16" thickBot="1">
      <c r="B33" s="433"/>
      <c r="C33" s="158"/>
      <c r="D33" s="131" t="str">
        <f t="shared" ref="D33:E46" si="2">D6</f>
        <v>Cash Substitutes</v>
      </c>
      <c r="E33" s="160">
        <f t="shared" si="2"/>
        <v>0.2</v>
      </c>
    </row>
    <row r="34" spans="2:5" ht="16" thickBot="1">
      <c r="B34" s="433"/>
      <c r="C34" s="158"/>
      <c r="D34" s="131" t="str">
        <f t="shared" si="2"/>
        <v>Building</v>
      </c>
      <c r="E34" s="160">
        <f t="shared" si="2"/>
        <v>0.18</v>
      </c>
    </row>
    <row r="35" spans="2:5" ht="16" thickBot="1">
      <c r="B35" s="433"/>
      <c r="C35" s="158"/>
      <c r="D35" s="131" t="str">
        <f t="shared" si="2"/>
        <v>Share certificate</v>
      </c>
      <c r="E35" s="160">
        <f t="shared" si="2"/>
        <v>0.15</v>
      </c>
    </row>
    <row r="36" spans="2:5" ht="16" thickBot="1">
      <c r="B36" s="433"/>
      <c r="C36" s="158"/>
      <c r="D36" s="131" t="str">
        <f t="shared" si="2"/>
        <v>Merchandize</v>
      </c>
      <c r="E36" s="160">
        <f t="shared" si="2"/>
        <v>0.15</v>
      </c>
    </row>
    <row r="37" spans="2:5" ht="16" thickBot="1">
      <c r="B37" s="433"/>
      <c r="C37" s="158"/>
      <c r="D37" s="131" t="str">
        <f t="shared" si="2"/>
        <v>Machinery</v>
      </c>
      <c r="E37" s="160">
        <f t="shared" si="2"/>
        <v>0.13</v>
      </c>
    </row>
    <row r="38" spans="2:5" ht="16" thickBot="1">
      <c r="B38" s="433"/>
      <c r="C38" s="158"/>
      <c r="D38" s="131" t="str">
        <f t="shared" si="2"/>
        <v>Vehicle</v>
      </c>
      <c r="E38" s="160">
        <f t="shared" si="2"/>
        <v>0.15</v>
      </c>
    </row>
    <row r="39" spans="2:5" ht="16" thickBot="1">
      <c r="B39" s="433"/>
      <c r="C39" s="158"/>
      <c r="D39" s="131" t="str">
        <f t="shared" si="2"/>
        <v>Corporate Guarantee</v>
      </c>
      <c r="E39" s="160">
        <f t="shared" si="2"/>
        <v>0.15</v>
      </c>
    </row>
    <row r="40" spans="2:5" ht="16" thickBot="1">
      <c r="B40" s="433"/>
      <c r="C40" s="158"/>
      <c r="D40" s="131" t="str">
        <f t="shared" si="2"/>
        <v>Government Guarantee</v>
      </c>
      <c r="E40" s="160">
        <f t="shared" si="2"/>
        <v>0.2</v>
      </c>
    </row>
    <row r="41" spans="2:5" ht="16" thickBot="1">
      <c r="B41" s="433"/>
      <c r="C41" s="158"/>
      <c r="D41" s="131" t="str">
        <f t="shared" si="2"/>
        <v>Bank Guarantee</v>
      </c>
      <c r="E41" s="160">
        <f t="shared" si="2"/>
        <v>0.2</v>
      </c>
    </row>
    <row r="42" spans="2:5" ht="16" thickBot="1">
      <c r="B42" s="433"/>
      <c r="C42" s="158"/>
      <c r="D42" s="131" t="str">
        <f t="shared" si="2"/>
        <v>Personal Guarantee</v>
      </c>
      <c r="E42" s="160">
        <f t="shared" si="2"/>
        <v>0</v>
      </c>
    </row>
    <row r="43" spans="2:5" ht="16" thickBot="1">
      <c r="B43" s="433"/>
      <c r="C43" s="158"/>
      <c r="D43" s="131" t="str">
        <f t="shared" si="2"/>
        <v>Export Document</v>
      </c>
      <c r="E43" s="160">
        <f t="shared" si="2"/>
        <v>0</v>
      </c>
    </row>
    <row r="44" spans="2:5" ht="16" thickBot="1">
      <c r="B44" s="433"/>
      <c r="C44" s="158"/>
      <c r="D44" s="131" t="str">
        <f t="shared" si="2"/>
        <v>Land Lease Right</v>
      </c>
      <c r="E44" s="160">
        <f t="shared" si="2"/>
        <v>0.1</v>
      </c>
    </row>
    <row r="45" spans="2:5" ht="16" thickBot="1">
      <c r="B45" s="433"/>
      <c r="C45" s="158"/>
      <c r="D45" s="131" t="str">
        <f t="shared" si="2"/>
        <v>Coffee Plantation</v>
      </c>
      <c r="E45" s="160">
        <f t="shared" si="2"/>
        <v>0.12</v>
      </c>
    </row>
    <row r="46" spans="2:5" ht="16" thickBot="1">
      <c r="B46" s="434"/>
      <c r="C46" s="158"/>
      <c r="D46" s="131" t="str">
        <f t="shared" si="2"/>
        <v>Second Degree Mortgage</v>
      </c>
      <c r="E46" s="160">
        <f t="shared" si="2"/>
        <v>0</v>
      </c>
    </row>
    <row r="47" spans="2:5" ht="16" thickBot="1">
      <c r="B47" s="432" t="s">
        <v>74</v>
      </c>
      <c r="C47" s="130"/>
      <c r="D47" s="160">
        <v>0.75</v>
      </c>
      <c r="E47" s="160">
        <v>0.8</v>
      </c>
    </row>
    <row r="48" spans="2:5" ht="16" thickBot="1">
      <c r="B48" s="433"/>
      <c r="C48" s="160">
        <v>0.65</v>
      </c>
      <c r="D48" s="160">
        <f>D47</f>
        <v>0.75</v>
      </c>
      <c r="E48" s="160">
        <v>0.7</v>
      </c>
    </row>
    <row r="49" spans="2:5" ht="16" thickBot="1">
      <c r="B49" s="433"/>
      <c r="C49" s="160">
        <v>0.55000000000000004</v>
      </c>
      <c r="D49" s="160">
        <f>C48</f>
        <v>0.65</v>
      </c>
      <c r="E49" s="160">
        <v>0.6</v>
      </c>
    </row>
    <row r="50" spans="2:5" ht="16" thickBot="1">
      <c r="B50" s="433"/>
      <c r="C50" s="160">
        <v>0.45</v>
      </c>
      <c r="D50" s="160">
        <f>C49</f>
        <v>0.55000000000000004</v>
      </c>
      <c r="E50" s="160">
        <v>0.5</v>
      </c>
    </row>
    <row r="51" spans="2:5" ht="16" thickBot="1">
      <c r="B51" s="433"/>
      <c r="C51" s="160">
        <v>0.35</v>
      </c>
      <c r="D51" s="160">
        <f t="shared" ref="D51:D53" si="3">C50</f>
        <v>0.45</v>
      </c>
      <c r="E51" s="160">
        <v>0.4</v>
      </c>
    </row>
    <row r="52" spans="2:5" ht="16" thickBot="1">
      <c r="B52" s="433"/>
      <c r="C52" s="160">
        <v>0.25</v>
      </c>
      <c r="D52" s="160">
        <f t="shared" si="3"/>
        <v>0.35</v>
      </c>
      <c r="E52" s="160">
        <v>0.3</v>
      </c>
    </row>
    <row r="53" spans="2:5" ht="16" thickBot="1">
      <c r="B53" s="434"/>
      <c r="C53" s="160"/>
      <c r="D53" s="160">
        <f t="shared" si="3"/>
        <v>0.25</v>
      </c>
      <c r="E53" s="160">
        <v>0</v>
      </c>
    </row>
    <row r="54" spans="2:5">
      <c r="B54" s="435" t="s">
        <v>88</v>
      </c>
      <c r="C54" s="436"/>
      <c r="D54" s="436"/>
      <c r="E54" s="436"/>
    </row>
  </sheetData>
  <sheetProtection sheet="1" formatCells="0" formatColumns="0" formatRows="0" insertColumns="0" insertRows="0" insertHyperlinks="0" deleteColumns="0" deleteRows="0" sort="0" autoFilter="0" pivotTables="0"/>
  <mergeCells count="7">
    <mergeCell ref="B47:B53"/>
    <mergeCell ref="B54:E54"/>
    <mergeCell ref="B3:D3"/>
    <mergeCell ref="B4:B19"/>
    <mergeCell ref="B30:D30"/>
    <mergeCell ref="B31:B46"/>
    <mergeCell ref="B20:B27"/>
  </mergeCells>
  <pageMargins left="0.7" right="0.7" top="0.75" bottom="0.75" header="0.3" footer="0.3"/>
  <pageSetup orientation="portrait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B2:L29"/>
  <sheetViews>
    <sheetView topLeftCell="E1" zoomScaleNormal="100" workbookViewId="0">
      <selection activeCell="I12" sqref="I12"/>
    </sheetView>
  </sheetViews>
  <sheetFormatPr defaultRowHeight="14.5"/>
  <cols>
    <col min="3" max="3" width="6.453125" bestFit="1" customWidth="1"/>
    <col min="4" max="4" width="9.6328125" customWidth="1"/>
    <col min="5" max="5" width="26" customWidth="1"/>
    <col min="6" max="6" width="25.90625" customWidth="1"/>
    <col min="9" max="9" width="27.90625" customWidth="1"/>
    <col min="10" max="10" width="12.08984375" bestFit="1" customWidth="1"/>
  </cols>
  <sheetData>
    <row r="2" spans="2:12" ht="15" thickBot="1"/>
    <row r="3" spans="2:12" ht="47" thickBot="1">
      <c r="B3" s="439" t="s">
        <v>68</v>
      </c>
      <c r="C3" s="440"/>
      <c r="D3" s="117" t="s">
        <v>328</v>
      </c>
      <c r="E3" s="118" t="s">
        <v>339</v>
      </c>
      <c r="F3" s="118" t="s">
        <v>58</v>
      </c>
    </row>
    <row r="4" spans="2:12" ht="21" customHeight="1" thickBot="1">
      <c r="B4" s="86">
        <v>0.95</v>
      </c>
      <c r="C4" s="86">
        <v>1</v>
      </c>
      <c r="D4" s="119" t="s">
        <v>59</v>
      </c>
      <c r="E4" s="119" t="s">
        <v>409</v>
      </c>
      <c r="F4" s="119" t="s">
        <v>445</v>
      </c>
      <c r="G4" s="42"/>
    </row>
    <row r="5" spans="2:12" s="12" customFormat="1" ht="16" thickBot="1">
      <c r="B5" s="86">
        <v>0.8</v>
      </c>
      <c r="C5" s="86">
        <f>B4</f>
        <v>0.95</v>
      </c>
      <c r="D5" s="119" t="s">
        <v>60</v>
      </c>
      <c r="E5" s="119" t="s">
        <v>61</v>
      </c>
      <c r="F5" s="119" t="s">
        <v>446</v>
      </c>
    </row>
    <row r="6" spans="2:12" s="12" customFormat="1" ht="16" thickBot="1">
      <c r="B6" s="86">
        <v>0.65</v>
      </c>
      <c r="C6" s="86">
        <f>B5</f>
        <v>0.8</v>
      </c>
      <c r="D6" s="119" t="s">
        <v>62</v>
      </c>
      <c r="E6" s="119" t="s">
        <v>63</v>
      </c>
      <c r="F6" s="119" t="s">
        <v>447</v>
      </c>
    </row>
    <row r="7" spans="2:12" s="12" customFormat="1" ht="16" thickBot="1">
      <c r="B7" s="88">
        <v>0.5</v>
      </c>
      <c r="C7" s="86">
        <f>B6</f>
        <v>0.65</v>
      </c>
      <c r="D7" s="119" t="s">
        <v>64</v>
      </c>
      <c r="E7" s="119" t="s">
        <v>329</v>
      </c>
      <c r="F7" s="119" t="s">
        <v>448</v>
      </c>
    </row>
    <row r="8" spans="2:12" s="12" customFormat="1" ht="18.75" customHeight="1" thickBot="1">
      <c r="B8" s="90"/>
      <c r="C8" s="87">
        <f>B7</f>
        <v>0.5</v>
      </c>
      <c r="D8" s="119" t="s">
        <v>66</v>
      </c>
      <c r="E8" s="119" t="s">
        <v>410</v>
      </c>
      <c r="F8" s="119" t="s">
        <v>449</v>
      </c>
    </row>
    <row r="9" spans="2:12">
      <c r="H9" s="12"/>
      <c r="I9" s="12"/>
      <c r="J9" s="12"/>
      <c r="K9" s="12"/>
      <c r="L9" s="12"/>
    </row>
    <row r="10" spans="2:12">
      <c r="H10" s="12"/>
      <c r="I10" s="12"/>
      <c r="J10" s="12"/>
      <c r="K10" s="12"/>
      <c r="L10" s="12"/>
    </row>
    <row r="11" spans="2:12">
      <c r="H11" s="12"/>
      <c r="I11" s="12"/>
      <c r="J11" s="12"/>
      <c r="K11" s="12"/>
      <c r="L11" s="12"/>
    </row>
    <row r="12" spans="2:12">
      <c r="H12" s="12"/>
      <c r="I12" s="12"/>
      <c r="J12" s="12"/>
      <c r="K12" s="12"/>
      <c r="L12" s="12"/>
    </row>
    <row r="13" spans="2:12">
      <c r="H13" s="12"/>
      <c r="I13" s="12"/>
      <c r="J13" s="12"/>
      <c r="K13" s="12"/>
      <c r="L13" s="12"/>
    </row>
    <row r="14" spans="2:12">
      <c r="H14" s="12"/>
      <c r="I14" s="12"/>
      <c r="J14" s="12"/>
      <c r="K14" s="12"/>
      <c r="L14" s="12"/>
    </row>
    <row r="15" spans="2:12">
      <c r="H15" s="12"/>
      <c r="I15" s="12"/>
      <c r="J15" s="12"/>
      <c r="K15" s="12"/>
      <c r="L15" s="12"/>
    </row>
    <row r="16" spans="2:12">
      <c r="H16" s="12"/>
      <c r="I16" s="12"/>
      <c r="J16" s="12"/>
      <c r="K16" s="12"/>
      <c r="L16" s="12"/>
    </row>
    <row r="17" spans="6:12">
      <c r="H17" s="12"/>
      <c r="I17" s="12"/>
      <c r="J17" s="12"/>
      <c r="K17" s="12"/>
      <c r="L17" s="12"/>
    </row>
    <row r="18" spans="6:12">
      <c r="H18" s="12"/>
      <c r="I18" s="12"/>
      <c r="J18" s="12"/>
      <c r="K18" s="12"/>
      <c r="L18" s="12"/>
    </row>
    <row r="19" spans="6:12">
      <c r="H19" s="12"/>
      <c r="I19" s="12"/>
      <c r="J19" s="12"/>
      <c r="K19" s="12"/>
      <c r="L19" s="12"/>
    </row>
    <row r="20" spans="6:12">
      <c r="H20" s="12"/>
      <c r="I20" s="12"/>
      <c r="J20" s="12"/>
      <c r="K20" s="12"/>
      <c r="L20" s="12"/>
    </row>
    <row r="21" spans="6:12">
      <c r="H21" s="12"/>
      <c r="I21" s="12"/>
      <c r="J21" s="12"/>
      <c r="K21" s="12"/>
      <c r="L21" s="12"/>
    </row>
    <row r="22" spans="6:12">
      <c r="H22" s="12"/>
      <c r="I22" s="12"/>
      <c r="J22" s="12"/>
      <c r="K22" s="12"/>
      <c r="L22" s="12"/>
    </row>
    <row r="23" spans="6:12">
      <c r="H23" s="12"/>
      <c r="I23" s="12"/>
      <c r="J23" s="12"/>
      <c r="K23" s="12"/>
      <c r="L23" s="12"/>
    </row>
    <row r="24" spans="6:12">
      <c r="H24" s="12"/>
      <c r="I24" s="12"/>
      <c r="J24" s="12"/>
      <c r="K24" s="12"/>
      <c r="L24" s="12"/>
    </row>
    <row r="25" spans="6:12">
      <c r="F25" s="24"/>
      <c r="H25" s="12"/>
      <c r="I25" s="12"/>
      <c r="J25" s="12"/>
      <c r="K25" s="12"/>
      <c r="L25" s="12"/>
    </row>
    <row r="26" spans="6:12">
      <c r="H26" s="12"/>
      <c r="I26" s="12"/>
      <c r="J26" s="12"/>
      <c r="K26" s="12"/>
      <c r="L26" s="12"/>
    </row>
    <row r="27" spans="6:12">
      <c r="H27" s="12"/>
      <c r="I27" s="12"/>
      <c r="J27" s="12"/>
      <c r="K27" s="12"/>
      <c r="L27" s="12"/>
    </row>
    <row r="28" spans="6:12">
      <c r="H28" s="12"/>
      <c r="I28" s="12"/>
      <c r="J28" s="12"/>
      <c r="K28" s="12"/>
      <c r="L28" s="12"/>
    </row>
    <row r="29" spans="6:12">
      <c r="H29" s="12"/>
      <c r="I29" s="12"/>
      <c r="J29" s="12"/>
      <c r="K29" s="12"/>
      <c r="L29" s="12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B3:C3"/>
  </mergeCells>
  <pageMargins left="0.7" right="0.7" top="0.75" bottom="0.75" header="0.3" footer="0.3"/>
  <pageSetup paperSize="9" orientation="portrait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G20"/>
  <sheetViews>
    <sheetView topLeftCell="A8" workbookViewId="0">
      <selection activeCell="K16" sqref="K16"/>
    </sheetView>
  </sheetViews>
  <sheetFormatPr defaultRowHeight="14.5"/>
  <cols>
    <col min="2" max="2" width="24.54296875" customWidth="1"/>
    <col min="3" max="3" width="16.453125" customWidth="1"/>
    <col min="4" max="4" width="13.54296875" customWidth="1"/>
    <col min="5" max="5" width="20" bestFit="1" customWidth="1"/>
    <col min="6" max="6" width="18.81640625" bestFit="1" customWidth="1"/>
    <col min="7" max="7" width="17.6328125" customWidth="1"/>
  </cols>
  <sheetData>
    <row r="1" spans="1:7" ht="15" thickBot="1"/>
    <row r="2" spans="1:7" ht="31.5" thickBot="1">
      <c r="B2" s="90" t="s">
        <v>84</v>
      </c>
      <c r="C2" s="445" t="s">
        <v>85</v>
      </c>
      <c r="D2" s="446"/>
      <c r="E2" s="90" t="s">
        <v>335</v>
      </c>
      <c r="F2" s="90" t="s">
        <v>336</v>
      </c>
    </row>
    <row r="3" spans="1:7" ht="16" thickBot="1">
      <c r="B3" s="86" t="s">
        <v>75</v>
      </c>
      <c r="C3" s="86">
        <v>0.9</v>
      </c>
      <c r="D3" s="86">
        <v>1</v>
      </c>
      <c r="E3" s="86" t="str">
        <f>B3</f>
        <v>Strongly Secured</v>
      </c>
      <c r="F3" s="86" t="s">
        <v>338</v>
      </c>
    </row>
    <row r="4" spans="1:7" ht="16" thickBot="1">
      <c r="B4" s="86" t="s">
        <v>77</v>
      </c>
      <c r="C4" s="86">
        <v>0.8</v>
      </c>
      <c r="D4" s="86">
        <f>C3</f>
        <v>0.9</v>
      </c>
      <c r="E4" s="86" t="str">
        <f t="shared" ref="E4:E7" si="0">B4</f>
        <v>Fully Secured</v>
      </c>
      <c r="F4" s="86" t="s">
        <v>79</v>
      </c>
    </row>
    <row r="5" spans="1:7" ht="16" thickBot="1">
      <c r="B5" s="86" t="s">
        <v>80</v>
      </c>
      <c r="C5" s="86">
        <v>0.7</v>
      </c>
      <c r="D5" s="86">
        <f t="shared" ref="D5:D7" si="1">C4</f>
        <v>0.8</v>
      </c>
      <c r="E5" s="86" t="str">
        <f t="shared" si="0"/>
        <v>Partially Secured</v>
      </c>
      <c r="F5" s="86" t="s">
        <v>65</v>
      </c>
    </row>
    <row r="6" spans="1:7" ht="16" thickBot="1">
      <c r="B6" s="86" t="s">
        <v>444</v>
      </c>
      <c r="C6" s="86">
        <v>0.5</v>
      </c>
      <c r="D6" s="86">
        <f t="shared" si="1"/>
        <v>0.7</v>
      </c>
      <c r="E6" s="86" t="str">
        <f t="shared" si="0"/>
        <v>Under Secured</v>
      </c>
      <c r="F6" s="86" t="s">
        <v>67</v>
      </c>
    </row>
    <row r="7" spans="1:7" ht="16.5" customHeight="1" thickBot="1">
      <c r="B7" s="86" t="s">
        <v>82</v>
      </c>
      <c r="C7" s="86"/>
      <c r="D7" s="86">
        <f t="shared" si="1"/>
        <v>0.5</v>
      </c>
      <c r="E7" s="86" t="str">
        <f t="shared" si="0"/>
        <v>Unsecured</v>
      </c>
      <c r="F7" s="86" t="s">
        <v>83</v>
      </c>
    </row>
    <row r="14" spans="1:7" ht="28.75" customHeight="1">
      <c r="A14" s="9"/>
      <c r="B14" s="21" t="s">
        <v>90</v>
      </c>
      <c r="C14" s="441" t="s">
        <v>100</v>
      </c>
      <c r="D14" s="441"/>
      <c r="E14" s="441"/>
      <c r="F14" s="441"/>
      <c r="G14" s="441"/>
    </row>
    <row r="15" spans="1:7" ht="29">
      <c r="A15" s="442" t="s">
        <v>99</v>
      </c>
      <c r="C15" s="21" t="str">
        <f>'Business Strength Grade'!F4</f>
        <v>Excellent (First Class)</v>
      </c>
      <c r="D15" s="21" t="str">
        <f>'Business Strength Grade'!F5</f>
        <v>Reliable (Good Standing)</v>
      </c>
      <c r="E15" s="21" t="str">
        <f>'Business Strength Grade'!F6</f>
        <v>Acceptable (Satisfactory)</v>
      </c>
      <c r="F15" s="21" t="str">
        <f>'Business Strength Grade'!F7</f>
        <v>Watch list (Marginal)</v>
      </c>
      <c r="G15" s="21" t="str">
        <f>'Business Strength Grade'!F8</f>
        <v>Poor (Distressed Business )</v>
      </c>
    </row>
    <row r="16" spans="1:7" ht="14.4" customHeight="1">
      <c r="A16" s="443"/>
      <c r="B16" s="91" t="str">
        <f>E3</f>
        <v>Strongly Secured</v>
      </c>
      <c r="C16" s="23" t="s">
        <v>93</v>
      </c>
      <c r="D16" s="23" t="s">
        <v>94</v>
      </c>
      <c r="E16" s="23" t="s">
        <v>76</v>
      </c>
      <c r="F16" s="23" t="s">
        <v>95</v>
      </c>
      <c r="G16" s="22" t="s">
        <v>78</v>
      </c>
    </row>
    <row r="17" spans="1:7">
      <c r="A17" s="443"/>
      <c r="B17" s="91" t="str">
        <f t="shared" ref="B17:B20" si="2">E4</f>
        <v>Fully Secured</v>
      </c>
      <c r="C17" s="23" t="s">
        <v>94</v>
      </c>
      <c r="D17" s="23" t="s">
        <v>76</v>
      </c>
      <c r="E17" s="23" t="s">
        <v>95</v>
      </c>
      <c r="F17" s="23" t="s">
        <v>96</v>
      </c>
      <c r="G17" s="22" t="s">
        <v>97</v>
      </c>
    </row>
    <row r="18" spans="1:7">
      <c r="A18" s="443"/>
      <c r="B18" s="91" t="str">
        <f t="shared" si="2"/>
        <v>Partially Secured</v>
      </c>
      <c r="C18" s="23" t="s">
        <v>76</v>
      </c>
      <c r="D18" s="23" t="s">
        <v>95</v>
      </c>
      <c r="E18" s="23" t="s">
        <v>96</v>
      </c>
      <c r="F18" s="22" t="s">
        <v>97</v>
      </c>
      <c r="G18" s="22" t="s">
        <v>98</v>
      </c>
    </row>
    <row r="19" spans="1:7">
      <c r="A19" s="443"/>
      <c r="B19" s="91" t="str">
        <f t="shared" si="2"/>
        <v>Under Secured</v>
      </c>
      <c r="C19" s="23" t="s">
        <v>95</v>
      </c>
      <c r="D19" s="23" t="s">
        <v>96</v>
      </c>
      <c r="E19" s="22" t="s">
        <v>97</v>
      </c>
      <c r="F19" s="22" t="s">
        <v>98</v>
      </c>
      <c r="G19" s="22" t="s">
        <v>41</v>
      </c>
    </row>
    <row r="20" spans="1:7">
      <c r="A20" s="444"/>
      <c r="B20" s="91" t="str">
        <f t="shared" si="2"/>
        <v>Unsecured</v>
      </c>
      <c r="C20" s="23" t="s">
        <v>96</v>
      </c>
      <c r="D20" s="22" t="s">
        <v>97</v>
      </c>
      <c r="E20" s="22" t="s">
        <v>98</v>
      </c>
      <c r="F20" s="22" t="s">
        <v>41</v>
      </c>
      <c r="G20" s="22" t="s">
        <v>81</v>
      </c>
    </row>
  </sheetData>
  <sheetProtection sheet="1" formatCells="0" formatColumns="0" formatRows="0" insertColumns="0" insertRows="0" insertHyperlinks="0" deleteColumns="0" deleteRows="0" sort="0" autoFilter="0" pivotTables="0"/>
  <mergeCells count="3">
    <mergeCell ref="C14:G14"/>
    <mergeCell ref="A15:A20"/>
    <mergeCell ref="C2:D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B1:E13"/>
  <sheetViews>
    <sheetView workbookViewId="0">
      <selection activeCell="P7" sqref="P7"/>
    </sheetView>
  </sheetViews>
  <sheetFormatPr defaultRowHeight="14.5"/>
  <cols>
    <col min="2" max="2" width="11.81640625" customWidth="1"/>
    <col min="3" max="3" width="12.26953125" customWidth="1"/>
    <col min="4" max="4" width="17.26953125" customWidth="1"/>
    <col min="5" max="5" width="2.453125" bestFit="1" customWidth="1"/>
    <col min="6" max="7" width="2.54296875" bestFit="1" customWidth="1"/>
    <col min="8" max="8" width="2.453125" bestFit="1" customWidth="1"/>
  </cols>
  <sheetData>
    <row r="1" spans="2:5" ht="15" thickBot="1"/>
    <row r="2" spans="2:5" ht="31.5" thickBot="1">
      <c r="B2" s="118" t="s">
        <v>340</v>
      </c>
      <c r="C2" s="117" t="s">
        <v>86</v>
      </c>
      <c r="D2" s="117" t="s">
        <v>404</v>
      </c>
      <c r="E2" s="120"/>
    </row>
    <row r="3" spans="2:5" ht="16" thickBot="1">
      <c r="B3" s="119" t="s">
        <v>93</v>
      </c>
      <c r="C3" s="122">
        <v>1</v>
      </c>
      <c r="D3" s="124">
        <v>1</v>
      </c>
      <c r="E3" s="121"/>
    </row>
    <row r="4" spans="2:5" ht="16" thickBot="1">
      <c r="B4" s="119" t="s">
        <v>94</v>
      </c>
      <c r="C4" s="122">
        <v>2</v>
      </c>
      <c r="D4" s="124">
        <v>0.9</v>
      </c>
      <c r="E4" s="121"/>
    </row>
    <row r="5" spans="2:5" ht="16" thickBot="1">
      <c r="B5" s="119" t="s">
        <v>76</v>
      </c>
      <c r="C5" s="122">
        <v>3</v>
      </c>
      <c r="D5" s="124">
        <v>0.8</v>
      </c>
      <c r="E5" s="121"/>
    </row>
    <row r="6" spans="2:5" ht="16" thickBot="1">
      <c r="B6" s="119" t="s">
        <v>95</v>
      </c>
      <c r="C6" s="122">
        <v>4</v>
      </c>
      <c r="D6" s="124">
        <v>0.7</v>
      </c>
      <c r="E6" s="121"/>
    </row>
    <row r="7" spans="2:5" ht="16" thickBot="1">
      <c r="B7" s="119" t="s">
        <v>96</v>
      </c>
      <c r="C7" s="122">
        <v>5</v>
      </c>
      <c r="D7" s="124">
        <v>0.6</v>
      </c>
      <c r="E7" s="121"/>
    </row>
    <row r="8" spans="2:5" ht="16" thickBot="1">
      <c r="B8" s="119" t="s">
        <v>78</v>
      </c>
      <c r="C8" s="122">
        <v>6</v>
      </c>
      <c r="D8" s="123"/>
    </row>
    <row r="9" spans="2:5" ht="16" thickBot="1">
      <c r="B9" s="119" t="s">
        <v>97</v>
      </c>
      <c r="C9" s="122">
        <v>7</v>
      </c>
    </row>
    <row r="10" spans="2:5" ht="16" thickBot="1">
      <c r="B10" s="119" t="s">
        <v>98</v>
      </c>
      <c r="C10" s="122">
        <v>8</v>
      </c>
    </row>
    <row r="11" spans="2:5" ht="16" thickBot="1">
      <c r="B11" s="119" t="s">
        <v>41</v>
      </c>
      <c r="C11" s="122">
        <v>9</v>
      </c>
    </row>
    <row r="12" spans="2:5" ht="16" thickBot="1">
      <c r="B12" s="119" t="s">
        <v>81</v>
      </c>
      <c r="C12" s="122">
        <v>10</v>
      </c>
    </row>
    <row r="13" spans="2:5" ht="15.5">
      <c r="B13" s="42"/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Merchandise Turnover</vt:lpstr>
      <vt:lpstr>Pre-Shipment Turnover</vt:lpstr>
      <vt:lpstr>OD TURNOVER</vt:lpstr>
      <vt:lpstr>OD SWING</vt:lpstr>
      <vt:lpstr>Account Statement</vt:lpstr>
      <vt:lpstr>Financial Statement</vt:lpstr>
      <vt:lpstr>Credit Information</vt:lpstr>
      <vt:lpstr>Collateral</vt:lpstr>
      <vt:lpstr>WC - CGS</vt:lpstr>
      <vt:lpstr>WC - Cash Flow</vt:lpstr>
      <vt:lpstr>Data Validation</vt:lpstr>
      <vt:lpstr>Business Strength Score</vt:lpstr>
      <vt:lpstr>Industry attractiveness 7</vt:lpstr>
      <vt:lpstr>Banking Relationship 10</vt:lpstr>
      <vt:lpstr>Character 5</vt:lpstr>
      <vt:lpstr>Financial 40</vt:lpstr>
      <vt:lpstr>Credit History 29</vt:lpstr>
      <vt:lpstr>Management Capacity  9</vt:lpstr>
      <vt:lpstr>Security Related Factor</vt:lpstr>
      <vt:lpstr>Business Strength Grade</vt:lpstr>
      <vt:lpstr>Coll Summary</vt:lpstr>
      <vt:lpstr>Interpretation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Kelbessa Geremew Yadeta</dc:creator>
  <cp:lastModifiedBy>Urji Lema Amare</cp:lastModifiedBy>
  <cp:lastPrinted>2025-09-01T17:36:54Z</cp:lastPrinted>
  <dcterms:created xsi:type="dcterms:W3CDTF">2023-05-11T05:41:30Z</dcterms:created>
  <dcterms:modified xsi:type="dcterms:W3CDTF">2026-03-10T10:59:14Z</dcterms:modified>
</cp:coreProperties>
</file>