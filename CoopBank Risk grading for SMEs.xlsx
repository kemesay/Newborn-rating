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Existing Risk Grading" sheetId="1" state="visible" r:id="rId3"/>
    <sheet name="Financial 40" sheetId="2" state="visible" r:id="rId4"/>
    <sheet name="Industry attractiveness 10" sheetId="3" state="visible" r:id="rId5"/>
    <sheet name="Credit History 25" sheetId="4" state="visible" r:id="rId6"/>
    <sheet name="Banking Relationship 9" sheetId="5" state="visible" r:id="rId7"/>
    <sheet name="Integrity 6" sheetId="6" state="visible" r:id="rId8"/>
    <sheet name="Management Capacity  9" sheetId="7" state="visible" r:id="rId9"/>
    <sheet name="Business Risk  Summary" sheetId="8" state="visible" r:id="rId10"/>
    <sheet name="Security Related Factor" sheetId="9" state="visible" r:id="rId11"/>
    <sheet name="Coll Summary" sheetId="10" state="visible" r:id="rId12"/>
    <sheet name="Interpretation" sheetId="11" state="visible" r:id="rId13"/>
  </sheets>
  <externalReferences>
    <externalReference r:id="rId14"/>
  </externalReferences>
  <definedNames>
    <definedName function="false" hidden="false" localSheetId="0" name="_xlnm.Print_Area" vbProcedure="false">'Existing Risk Grading'!$A$1:$E$80</definedName>
    <definedName function="false" hidden="false" name="Beg_Bal" vbProcedure="false">#REF!</definedName>
    <definedName function="false" hidden="false" name="Cum_Int" vbProcedure="false">#REF!</definedName>
    <definedName function="false" hidden="false" name="Data" vbProcedure="false">#REF!</definedName>
    <definedName function="false" hidden="false" name="End_Bal" vbProcedure="false">#REF!</definedName>
    <definedName function="false" hidden="false" name="Extra_Pay" vbProcedure="false">#REF!</definedName>
    <definedName function="false" hidden="false" name="Full_Print" vbProcedure="false">#REF!</definedName>
    <definedName function="false" hidden="false" name="Header_Row" vbProcedure="false">ROW(#REF!)</definedName>
    <definedName function="false" hidden="false" name="Int" vbProcedure="false">#REF!</definedName>
    <definedName function="false" hidden="false" name="Interest_Rate" vbProcedure="false">#REF!</definedName>
    <definedName function="false" hidden="false" name="Last_Row" vbProcedure="false">IF(Values_Entered,Header_Row+Number_of_Payments,Header_Row)</definedName>
    <definedName function="false" hidden="false" name="Values_Entered" vbProcedure="false">IF(Loan_Amount*Interest_Rate*Loan_Years*Loan_Start&gt;0,1,0)</definedName>
    <definedName function="false" hidden="false" name="Loan_Amount" vbProcedure="false">#REF!</definedName>
    <definedName function="false" hidden="false" name="Loan_Years" vbProcedure="false">#REF!</definedName>
    <definedName function="false" hidden="false" name="Loan_Start" vbProcedure="false">#REF!</definedName>
    <definedName function="false" hidden="false" name="Number_of_Payments" vbProcedure="false">MATCH(0.01,End_Bal,-1)+1</definedName>
    <definedName function="false" hidden="false" name="Num_Pmt_Per_Year" vbProcedure="false">#REF!</definedName>
    <definedName function="false" hidden="false" name="Payment_Date" vbProcedure="false">DATE(YEAR(Loan_Start),MONTH(Loan_Start)+payment_number,DAY(Loan_Start))</definedName>
    <definedName function="false" hidden="false" name="Pay_Date" vbProcedure="false">#REF!</definedName>
    <definedName function="false" hidden="false" name="Pay_Num" vbProcedure="false">#REF!</definedName>
    <definedName function="false" hidden="false" name="Princ" vbProcedure="false">#REF!</definedName>
    <definedName function="false" hidden="false" name="Print_Area_Reset" vbProcedure="false">OFFSET(Full_Print,0,0,Last_Row)</definedName>
    <definedName function="false" hidden="false" name="Scheduled_Extra_Payments" vbProcedure="false">#REF!</definedName>
    <definedName function="false" hidden="false" name="Scheduled_Interest_Rate" vbProcedure="false">#REF!</definedName>
    <definedName function="false" hidden="false" name="Scheduled_Monthly_Payment" vbProcedure="false">#REF!</definedName>
    <definedName function="false" hidden="false" name="Sched_Pay" vbProcedure="false">#REF!</definedName>
    <definedName function="false" hidden="false" name="Total_Interest" vbProcedure="false">#REF!</definedName>
    <definedName function="false" hidden="false" name="Total_Pay" vbProcedure="false">#REF!</definedName>
    <definedName function="false" hidden="false" name="zAutoHide4_0335" vbProcedure="false">#REF!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Asegahegn</author>
    <author>Yohannes Diriba Guta</author>
    <author>_president</author>
  </authors>
  <commentList>
    <comment ref="A7" authorId="0">
      <text>
        <r>
          <rPr>
            <sz val="10"/>
            <rFont val="Arial"/>
            <family val="2"/>
          </rPr>
          <t xml:space="preserve">CBO Appraisal:
</t>
        </r>
        <r>
          <rPr>
            <sz val="14"/>
            <color rgb="FF800000"/>
            <rFont val="Tahoma"/>
            <family val="2"/>
            <charset val="1"/>
          </rPr>
          <t xml:space="preserve">WRITE IN FRONT (CELL  D-8) EITHER  </t>
        </r>
        <r>
          <rPr>
            <sz val="14"/>
            <color rgb="FF000080"/>
            <rFont val="Tahoma"/>
            <family val="2"/>
            <charset val="1"/>
          </rPr>
          <t xml:space="preserve">MANUFACTURING</t>
        </r>
        <r>
          <rPr>
            <sz val="14"/>
            <color rgb="FF800000"/>
            <rFont val="Tahoma"/>
            <family val="2"/>
            <charset val="1"/>
          </rPr>
          <t xml:space="preserve"> OR  </t>
        </r>
        <r>
          <rPr>
            <sz val="14"/>
            <color rgb="FF000080"/>
            <rFont val="Tahoma"/>
            <family val="2"/>
            <charset val="1"/>
          </rPr>
          <t xml:space="preserve">AGRICULTURE</t>
        </r>
        <r>
          <rPr>
            <sz val="14"/>
            <color rgb="FF800000"/>
            <rFont val="Tahoma"/>
            <family val="2"/>
            <charset val="1"/>
          </rPr>
          <t xml:space="preserve"> OR </t>
        </r>
        <r>
          <rPr>
            <sz val="14"/>
            <color rgb="FF000080"/>
            <rFont val="Tahoma"/>
            <family val="2"/>
            <charset val="1"/>
          </rPr>
          <t xml:space="preserve">CONSTRUCTION </t>
        </r>
        <r>
          <rPr>
            <sz val="14"/>
            <color rgb="FF800000"/>
            <rFont val="Tahoma"/>
            <family val="2"/>
            <charset val="1"/>
          </rPr>
          <t xml:space="preserve">OR </t>
        </r>
        <r>
          <rPr>
            <sz val="14"/>
            <color rgb="FF003366"/>
            <rFont val="Tahoma"/>
            <family val="2"/>
            <charset val="1"/>
          </rPr>
          <t xml:space="preserve">IMPORT/EXPORT</t>
        </r>
        <r>
          <rPr>
            <sz val="14"/>
            <color rgb="FF800000"/>
            <rFont val="Tahoma"/>
            <family val="2"/>
            <charset val="1"/>
          </rPr>
          <t xml:space="preserve">,OR </t>
        </r>
        <r>
          <rPr>
            <sz val="14"/>
            <color rgb="FF000080"/>
            <rFont val="Tahoma"/>
            <family val="2"/>
            <charset val="1"/>
          </rPr>
          <t xml:space="preserve">DTS.</t>
        </r>
        <r>
          <rPr>
            <sz val="14"/>
            <color rgb="FF000000"/>
            <rFont val="Tahoma"/>
            <family val="2"/>
            <charset val="1"/>
          </rPr>
          <t xml:space="preserve">  </t>
        </r>
        <r>
          <rPr>
            <sz val="14"/>
            <color rgb="FFFF0000"/>
            <rFont val="Tahoma"/>
            <family val="2"/>
            <charset val="1"/>
          </rPr>
          <t xml:space="preserve">Do not write the type of the business. When you write </t>
        </r>
        <r>
          <rPr>
            <sz val="14"/>
            <color rgb="FF003366"/>
            <rFont val="Tahoma"/>
            <family val="2"/>
            <charset val="1"/>
          </rPr>
          <t xml:space="preserve">'Import/Export'</t>
        </r>
        <r>
          <rPr>
            <sz val="14"/>
            <color rgb="FFFF0000"/>
            <rFont val="Tahoma"/>
            <family val="2"/>
            <charset val="1"/>
          </rPr>
          <t xml:space="preserve"> ,no need to make space in-between.</t>
        </r>
      </text>
    </comment>
    <comment ref="A11" authorId="0">
      <text>
        <r>
          <rPr>
            <sz val="10"/>
            <rFont val="Arial"/>
            <family val="2"/>
          </rPr>
          <t xml:space="preserve">CBO Appraisal:
</t>
        </r>
        <r>
          <rPr>
            <b val="true"/>
            <sz val="11"/>
            <color rgb="FF003366"/>
            <rFont val="Tahoma"/>
            <family val="2"/>
            <charset val="1"/>
          </rPr>
          <t xml:space="preserve">Write the facilities by product type if there are more than one similar types of facilities.Like, 3 term loans 2 O/Ds etc. if the below 8 rows are insufficent.</t>
        </r>
      </text>
    </comment>
    <comment ref="A12" authorId="0">
      <text>
        <r>
          <rPr>
            <sz val="10"/>
            <rFont val="Arial"/>
            <family val="2"/>
          </rPr>
          <t xml:space="preserve">CBO Appraisal:
</t>
        </r>
        <r>
          <rPr>
            <b val="true"/>
            <sz val="11"/>
            <color rgb="FF003366"/>
            <rFont val="Tahoma"/>
            <family val="2"/>
            <charset val="1"/>
          </rPr>
          <t xml:space="preserve">Write the facilities by product type if there are more than one similar types of facilities.Like, 3 term loans 2 O/Ds etc. if the below 8 rows are insufficent.</t>
        </r>
      </text>
    </comment>
    <comment ref="A13" authorId="0">
      <text>
        <r>
          <rPr>
            <sz val="10"/>
            <rFont val="Arial"/>
            <family val="2"/>
          </rPr>
          <t xml:space="preserve">Asegahegn:
</t>
        </r>
        <r>
          <rPr>
            <b val="true"/>
            <sz val="11"/>
            <color rgb="FF003366"/>
            <rFont val="Tahoma"/>
            <family val="2"/>
            <charset val="1"/>
          </rPr>
          <t xml:space="preserve">Write the facilities by product type if there are more than one similar types of facilities.Like, 3 term loans 2 O/Ds etc. if the below 8 rows are insufficent.</t>
        </r>
      </text>
    </comment>
    <comment ref="A38" authorId="0">
      <text>
        <r>
          <rPr>
            <sz val="10"/>
            <rFont val="Arial"/>
            <family val="2"/>
          </rPr>
          <t xml:space="preserve">Asegahegn:
</t>
        </r>
        <r>
          <rPr>
            <b val="true"/>
            <sz val="10"/>
            <color rgb="FF000080"/>
            <rFont val="Tahoma"/>
            <family val="2"/>
            <charset val="1"/>
          </rPr>
          <t xml:space="preserve">It refers the average performance result of  past and present credit products  approved and disbursed to the customer</t>
        </r>
      </text>
    </comment>
    <comment ref="A73" authorId="0">
      <text>
        <r>
          <rPr>
            <sz val="10"/>
            <rFont val="Arial"/>
            <family val="2"/>
          </rPr>
          <t xml:space="preserve">CBO Appraisal:
</t>
        </r>
        <r>
          <rPr>
            <b val="true"/>
            <sz val="14"/>
            <color rgb="FF003300"/>
            <rFont val="Tahoma"/>
            <family val="2"/>
            <charset val="1"/>
          </rPr>
          <t xml:space="preserve">Write here if you have  general remark. </t>
        </r>
      </text>
    </comment>
    <comment ref="A75" authorId="0">
      <text>
        <r>
          <rPr>
            <sz val="10"/>
            <rFont val="Arial"/>
            <family val="2"/>
          </rPr>
          <t xml:space="preserve">CBO Appraisal:
</t>
        </r>
        <r>
          <rPr>
            <sz val="12"/>
            <color rgb="FF0000FF"/>
            <rFont val="Tahoma"/>
            <family val="2"/>
            <charset val="1"/>
          </rPr>
          <t xml:space="preserve">If you didn't recommend any amount indicate same as '</t>
        </r>
        <r>
          <rPr>
            <sz val="12"/>
            <color rgb="FFFF00FF"/>
            <rFont val="Tahoma"/>
            <family val="2"/>
            <charset val="1"/>
          </rPr>
          <t xml:space="preserve">Not Recommend'</t>
        </r>
      </text>
    </comment>
    <comment ref="B7" authorId="1">
      <text>
        <r>
          <rPr>
            <sz val="10"/>
            <rFont val="Arial"/>
            <family val="2"/>
          </rPr>
          <t xml:space="preserve">CBO Appraisal:
select from the drop box the correct sector
If the applicant engaged in more than one sector, use the major one
</t>
        </r>
      </text>
    </comment>
    <comment ref="C9" authorId="0">
      <text>
        <r>
          <rPr>
            <sz val="10"/>
            <rFont val="Arial"/>
            <family val="2"/>
          </rPr>
          <t xml:space="preserve">CBO Appraisal:
</t>
        </r>
        <r>
          <rPr>
            <b val="true"/>
            <sz val="10"/>
            <color rgb="FF003300"/>
            <rFont val="Tahoma"/>
            <family val="2"/>
            <charset val="1"/>
          </rPr>
          <t xml:space="preserve">The CODE should indicate the purpose of the loan to be approved or recommended</t>
        </r>
      </text>
    </comment>
    <comment ref="D8" authorId="0">
      <text>
        <r>
          <rPr>
            <sz val="10"/>
            <rFont val="Arial"/>
            <family val="2"/>
          </rPr>
          <t xml:space="preserve">CBO Appraisal:
</t>
        </r>
        <r>
          <rPr>
            <sz val="10"/>
            <color rgb="FF000000"/>
            <rFont val="Tahoma"/>
            <family val="2"/>
            <charset val="1"/>
          </rPr>
          <t xml:space="preserve">H</t>
        </r>
        <r>
          <rPr>
            <b val="true"/>
            <sz val="10"/>
            <color rgb="FF000000"/>
            <rFont val="Tahoma"/>
            <family val="2"/>
            <charset val="1"/>
          </rPr>
          <t xml:space="preserve">ere you may write  the specific type of the customer's business,not the econmic sector. </t>
        </r>
      </text>
    </comment>
    <comment ref="D11" authorId="0">
      <text>
        <r>
          <rPr>
            <sz val="10"/>
            <rFont val="Arial"/>
            <family val="2"/>
          </rPr>
          <t xml:space="preserve">CBO Appraisal:
</t>
        </r>
        <r>
          <rPr>
            <b val="true"/>
            <sz val="12"/>
            <color rgb="FF993300"/>
            <rFont val="Tahoma"/>
            <family val="2"/>
            <charset val="1"/>
          </rPr>
          <t xml:space="preserve">Do not enter words exept numbers to get the summation of the Balance.If an O/D has Credit Balnce you may write the balance as Zero.</t>
        </r>
      </text>
    </comment>
    <comment ref="D12" authorId="0">
      <text>
        <r>
          <rPr>
            <sz val="10"/>
            <rFont val="Arial"/>
            <family val="2"/>
          </rPr>
          <t xml:space="preserve">CBO Appraisal:
</t>
        </r>
        <r>
          <rPr>
            <b val="true"/>
            <sz val="12"/>
            <color rgb="FF993300"/>
            <rFont val="Tahoma"/>
            <family val="2"/>
            <charset val="1"/>
          </rPr>
          <t xml:space="preserve">Do not enter words exept numbers to get the summation of the Balance.If an O/D has Credit Balnce you may write the balance as Zero.</t>
        </r>
      </text>
    </comment>
    <comment ref="D18" authorId="0">
      <text>
        <r>
          <rPr>
            <sz val="10"/>
            <rFont val="Arial"/>
            <family val="2"/>
          </rPr>
          <t xml:space="preserve">CBO Appraisal:
</t>
        </r>
        <r>
          <rPr>
            <sz val="12"/>
            <color rgb="FF003366"/>
            <rFont val="Tahoma"/>
            <family val="2"/>
            <charset val="1"/>
          </rPr>
          <t xml:space="preserve">For  fianacial risk section i.e from Cell 26 up to 37, while you are filling points for one sector, write either </t>
        </r>
        <r>
          <rPr>
            <sz val="12"/>
            <color rgb="FFFF0000"/>
            <rFont val="Tahoma"/>
            <family val="2"/>
            <charset val="1"/>
          </rPr>
          <t xml:space="preserve">0 </t>
        </r>
        <r>
          <rPr>
            <sz val="12"/>
            <color rgb="FF003366"/>
            <rFont val="Tahoma"/>
            <family val="2"/>
            <charset val="1"/>
          </rPr>
          <t xml:space="preserve">or </t>
        </r>
        <r>
          <rPr>
            <sz val="12"/>
            <color rgb="FFFF0000"/>
            <rFont val="Tahoma"/>
            <family val="2"/>
            <charset val="1"/>
          </rPr>
          <t xml:space="preserve">NA</t>
        </r>
        <r>
          <rPr>
            <sz val="12"/>
            <color rgb="FF003366"/>
            <rFont val="Tahoma"/>
            <family val="2"/>
            <charset val="1"/>
          </rPr>
          <t xml:space="preserve"> in the other sectors cell, to  ease sector identification to readers. However, whether you make it or not  it doesn't affect your grade points as far as you entered the correct sector name in cell D-8. When you enter each sector name into Cell D-8, the others sectors grade points would be deactivated and converted to Zero. </t>
        </r>
        <r>
          <rPr>
            <sz val="12"/>
            <color rgb="FFFF0000"/>
            <rFont val="Tahoma"/>
            <family val="2"/>
            <charset val="1"/>
          </rPr>
          <t xml:space="preserve">N</t>
        </r>
        <r>
          <rPr>
            <b val="true"/>
            <sz val="12"/>
            <color rgb="FFFF0000"/>
            <rFont val="Tahoma"/>
            <family val="2"/>
            <charset val="1"/>
          </rPr>
          <t xml:space="preserve">B: After giving the correct sector name in Cell -D-9 above, do not write NA in the same sector's financial risk parameter cells. For e.g if D-9 is Import/Export you cant say NA in to Cell 27 and 29 and Same is true for Cells 34 &amp; 37
In profitability section of all sectORS the miniumum mark is 1, not 0.</t>
        </r>
      </text>
    </comment>
    <comment ref="D19" authorId="0">
      <text>
        <r>
          <rPr>
            <sz val="10"/>
            <rFont val="Arial"/>
            <family val="2"/>
          </rPr>
          <t xml:space="preserve">CBO Appraisal:
</t>
        </r>
        <r>
          <rPr>
            <b val="true"/>
            <sz val="10"/>
            <color rgb="FF000080"/>
            <rFont val="Tahoma"/>
            <family val="2"/>
            <charset val="1"/>
          </rPr>
          <t xml:space="preserve">Enter the average of three full years  OR NA. If the business has not been stayed a minimum of three years as of  the operational period, you may take less than three years data for all financial figures.  
 </t>
        </r>
        <r>
          <rPr>
            <b val="true"/>
            <sz val="10"/>
            <color rgb="FFFF0000"/>
            <rFont val="Tahoma"/>
            <family val="2"/>
            <charset val="1"/>
          </rPr>
          <t xml:space="preserve">Two Special Cases:
</t>
        </r>
        <r>
          <rPr>
            <b val="true"/>
            <sz val="10"/>
            <color rgb="FF000080"/>
            <rFont val="Tahoma"/>
            <family val="2"/>
            <charset val="1"/>
          </rPr>
          <t xml:space="preserve">1) Tangibile net worth  is zero or negative</t>
        </r>
        <r>
          <rPr>
            <b val="true"/>
            <sz val="10"/>
            <color rgb="FF800000"/>
            <rFont val="Tahoma"/>
            <family val="2"/>
            <charset val="1"/>
          </rPr>
          <t xml:space="preserve"> - This is the worst case ,therefore, the mark shall be zero. write NA to get that.
</t>
        </r>
        <r>
          <rPr>
            <b val="true"/>
            <sz val="10"/>
            <color rgb="FF000080"/>
            <rFont val="Tahoma"/>
            <family val="2"/>
            <charset val="1"/>
          </rPr>
          <t xml:space="preserve">2) There is no liability</t>
        </r>
        <r>
          <rPr>
            <b val="true"/>
            <sz val="10"/>
            <color rgb="FF800000"/>
            <rFont val="Tahoma"/>
            <family val="2"/>
            <charset val="1"/>
          </rPr>
          <t xml:space="preserve">-This is favourable case.Therefore,the mark shall be the maximum 8. Write 0 to get  it.
</t>
        </r>
        <r>
          <rPr>
            <b val="true"/>
            <sz val="10"/>
            <color rgb="FFFF0000"/>
            <rFont val="Tahoma"/>
            <family val="2"/>
            <charset val="1"/>
          </rPr>
          <t xml:space="preserve">( Use this approch for all sectors)</t>
        </r>
      </text>
    </comment>
    <comment ref="D20" authorId="0">
      <text>
        <r>
          <rPr>
            <sz val="10"/>
            <rFont val="Arial"/>
            <family val="2"/>
          </rPr>
          <t xml:space="preserve">CBO Appraisal:
</t>
        </r>
        <r>
          <rPr>
            <b val="true"/>
            <sz val="10"/>
            <color rgb="FF003300"/>
            <rFont val="Tahoma"/>
            <family val="2"/>
            <charset val="1"/>
          </rPr>
          <t xml:space="preserve">Enter the average of three full years . If there is no debt ,the ratio couldn't be calculated. Hence, write "0" so that the recognized point would be 8. , NA for other case.</t>
        </r>
      </text>
    </comment>
    <comment ref="D21" authorId="0">
      <text>
        <r>
          <rPr>
            <sz val="10"/>
            <rFont val="Arial"/>
            <family val="2"/>
          </rPr>
          <t xml:space="preserve">CBO Appraisal:
</t>
        </r>
        <r>
          <rPr>
            <b val="true"/>
            <sz val="10"/>
            <color rgb="FF003300"/>
            <rFont val="Tahoma"/>
            <family val="2"/>
            <charset val="1"/>
          </rPr>
          <t xml:space="preserve">Enter the average of three full years or 0</t>
        </r>
      </text>
    </comment>
    <comment ref="D26" authorId="0">
      <text>
        <r>
          <rPr>
            <sz val="10"/>
            <rFont val="Arial"/>
            <family val="2"/>
          </rPr>
          <t xml:space="preserve">CBO Appraisal:
</t>
        </r>
        <r>
          <rPr>
            <b val="true"/>
            <sz val="10"/>
            <color rgb="FF003300"/>
            <rFont val="Tahoma"/>
            <family val="2"/>
            <charset val="1"/>
          </rPr>
          <t xml:space="preserve">Enter the average of three full years . </t>
        </r>
        <r>
          <rPr>
            <b val="true"/>
            <sz val="10"/>
            <color rgb="FF800000"/>
            <rFont val="Tahoma"/>
            <family val="2"/>
            <charset val="1"/>
          </rPr>
          <t xml:space="preserve">You have to fill finacial  expense on the Income statement to get this ratio at the end of the Analytical Ratio of the Spread Sheet</t>
        </r>
      </text>
    </comment>
    <comment ref="D27" authorId="0">
      <text>
        <r>
          <rPr>
            <sz val="10"/>
            <rFont val="Arial"/>
            <family val="2"/>
          </rPr>
          <t xml:space="preserve">CBO Appraisal:
</t>
        </r>
        <r>
          <rPr>
            <b val="true"/>
            <sz val="10"/>
            <color rgb="FF0000FF"/>
            <rFont val="Tahoma"/>
            <family val="2"/>
            <charset val="1"/>
          </rPr>
          <t xml:space="preserve">The following magnitudes should be defined with domain of three , For e.g one year provisional means the remaining two statements are Audited
</t>
        </r>
        <r>
          <rPr>
            <sz val="14"/>
            <color rgb="FFFF00FF"/>
            <rFont val="Tahoma"/>
            <family val="2"/>
            <charset val="1"/>
          </rPr>
          <t xml:space="preserve">Enter ethier:
</t>
        </r>
        <r>
          <rPr>
            <b val="true"/>
            <sz val="10"/>
            <color rgb="FFFF0000"/>
            <rFont val="Tahoma"/>
            <family val="2"/>
            <charset val="1"/>
          </rPr>
          <t xml:space="preserve">EX -</t>
        </r>
        <r>
          <rPr>
            <sz val="10"/>
            <color rgb="FF000000"/>
            <rFont val="Tahoma"/>
            <family val="2"/>
            <charset val="1"/>
          </rPr>
          <t xml:space="preserve">For </t>
        </r>
        <r>
          <rPr>
            <b val="true"/>
            <sz val="10"/>
            <color rgb="FF003300"/>
            <rFont val="Tahoma"/>
            <family val="2"/>
            <charset val="1"/>
          </rPr>
          <t xml:space="preserve">All Audited OR 
</t>
        </r>
        <r>
          <rPr>
            <b val="true"/>
            <sz val="10"/>
            <color rgb="FFFF0000"/>
            <rFont val="Tahoma"/>
            <family val="2"/>
            <charset val="1"/>
          </rPr>
          <t xml:space="preserve">VG</t>
        </r>
        <r>
          <rPr>
            <b val="true"/>
            <sz val="10"/>
            <color rgb="FF003300"/>
            <rFont val="Tahoma"/>
            <family val="2"/>
            <charset val="1"/>
          </rPr>
          <t xml:space="preserve"> -For One Year Provisional OR 
</t>
        </r>
        <r>
          <rPr>
            <b val="true"/>
            <sz val="10"/>
            <color rgb="FFFF0000"/>
            <rFont val="Tahoma"/>
            <family val="2"/>
            <charset val="1"/>
          </rPr>
          <t xml:space="preserve">GD</t>
        </r>
        <r>
          <rPr>
            <b val="true"/>
            <sz val="10"/>
            <color rgb="FF003300"/>
            <rFont val="Tahoma"/>
            <family val="2"/>
            <charset val="1"/>
          </rPr>
          <t xml:space="preserve"> -For Two Years Provisional OR 
</t>
        </r>
        <r>
          <rPr>
            <b val="true"/>
            <sz val="10"/>
            <color rgb="FFFF0000"/>
            <rFont val="Tahoma"/>
            <family val="2"/>
            <charset val="1"/>
          </rPr>
          <t xml:space="preserve">FR</t>
        </r>
        <r>
          <rPr>
            <b val="true"/>
            <sz val="10"/>
            <color rgb="FF003300"/>
            <rFont val="Tahoma"/>
            <family val="2"/>
            <charset val="1"/>
          </rPr>
          <t xml:space="preserve"> -For All Provisional  OR  
</t>
        </r>
        <r>
          <rPr>
            <b val="true"/>
            <sz val="10"/>
            <color rgb="FFFF0000"/>
            <rFont val="Tahoma"/>
            <family val="2"/>
            <charset val="1"/>
          </rPr>
          <t xml:space="preserve">CCR</t>
        </r>
        <r>
          <rPr>
            <b val="true"/>
            <sz val="10"/>
            <color rgb="FF003300"/>
            <rFont val="Tahoma"/>
            <family val="2"/>
            <charset val="1"/>
          </rPr>
          <t xml:space="preserve">  or </t>
        </r>
        <r>
          <rPr>
            <b val="true"/>
            <sz val="10"/>
            <color rgb="FFFF0000"/>
            <rFont val="Tahoma"/>
            <family val="2"/>
            <charset val="1"/>
          </rPr>
          <t xml:space="preserve">NA.  
Do not count interim CCR or Provisional Statement
</t>
        </r>
      </text>
    </comment>
    <comment ref="D28" authorId="2">
      <text>
        <r>
          <rPr>
            <sz val="10"/>
            <rFont val="Arial"/>
            <family val="2"/>
          </rPr>
          <t xml:space="preserve">CBO Appraisal:
</t>
        </r>
        <r>
          <rPr>
            <b val="true"/>
            <sz val="11"/>
            <color rgb="FF800000"/>
            <rFont val="Tahoma"/>
            <family val="2"/>
            <charset val="1"/>
          </rPr>
          <t xml:space="preserve">Enter Either  </t>
        </r>
        <r>
          <rPr>
            <b val="true"/>
            <sz val="11"/>
            <color rgb="FFFF00FF"/>
            <rFont val="Tahoma"/>
            <family val="2"/>
            <charset val="1"/>
          </rPr>
          <t xml:space="preserve">EX</t>
        </r>
        <r>
          <rPr>
            <b val="true"/>
            <sz val="11"/>
            <color rgb="FF800000"/>
            <rFont val="Tahoma"/>
            <family val="2"/>
            <charset val="1"/>
          </rPr>
          <t xml:space="preserve"> For Audited &amp; Provisional OR  
</t>
        </r>
        <r>
          <rPr>
            <b val="true"/>
            <sz val="11"/>
            <color rgb="FFFF00FF"/>
            <rFont val="Tahoma"/>
            <family val="2"/>
            <charset val="1"/>
          </rPr>
          <t xml:space="preserve">VG</t>
        </r>
        <r>
          <rPr>
            <b val="true"/>
            <sz val="11"/>
            <color rgb="FF800000"/>
            <rFont val="Tahoma"/>
            <family val="2"/>
            <charset val="1"/>
          </rPr>
          <t xml:space="preserve"> FOR All Provisional OR </t>
        </r>
        <r>
          <rPr>
            <b val="true"/>
            <sz val="11"/>
            <color rgb="FFFF00FF"/>
            <rFont val="Tahoma"/>
            <family val="2"/>
            <charset val="1"/>
          </rPr>
          <t xml:space="preserve">CCR</t>
        </r>
        <r>
          <rPr>
            <b val="true"/>
            <sz val="11"/>
            <color rgb="FF800000"/>
            <rFont val="Tahoma"/>
            <family val="2"/>
            <charset val="1"/>
          </rPr>
          <t xml:space="preserve"> if all or available are CCRs  OR  </t>
        </r>
        <r>
          <rPr>
            <b val="true"/>
            <sz val="11"/>
            <color rgb="FFFF00FF"/>
            <rFont val="Tahoma"/>
            <family val="2"/>
            <charset val="1"/>
          </rPr>
          <t xml:space="preserve">NA</t>
        </r>
        <r>
          <rPr>
            <b val="true"/>
            <sz val="11"/>
            <color rgb="FF800000"/>
            <rFont val="Tahoma"/>
            <family val="2"/>
            <charset val="1"/>
          </rPr>
          <t xml:space="preserve">. If your customer actual status  excels the given alternatives give the highest mark</t>
        </r>
        <r>
          <rPr>
            <b val="true"/>
            <sz val="11"/>
            <color rgb="FFFF00FF"/>
            <rFont val="Tahoma"/>
            <family val="2"/>
            <charset val="1"/>
          </rPr>
          <t xml:space="preserve">(EX) </t>
        </r>
        <r>
          <rPr>
            <b val="true"/>
            <sz val="11"/>
            <color rgb="FF800000"/>
            <rFont val="Tahoma"/>
            <family val="2"/>
            <charset val="1"/>
          </rPr>
          <t xml:space="preserve">and you may comment at the general remark part. </t>
        </r>
        <r>
          <rPr>
            <b val="true"/>
            <sz val="11"/>
            <color rgb="FFFF00FF"/>
            <rFont val="Tahoma"/>
            <family val="2"/>
            <charset val="1"/>
          </rPr>
          <t xml:space="preserve">Do not Count Interim CCRS.</t>
        </r>
      </text>
    </comment>
    <comment ref="D29" authorId="2">
      <text>
        <r>
          <rPr>
            <sz val="10"/>
            <rFont val="Arial"/>
            <family val="2"/>
          </rPr>
          <t xml:space="preserve">CBO Appraisal:
</t>
        </r>
        <r>
          <rPr>
            <b val="true"/>
            <sz val="12"/>
            <color rgb="FFFF0000"/>
            <rFont val="Times New Roman"/>
            <family val="1"/>
            <charset val="1"/>
          </rPr>
          <t xml:space="preserve">IF:
</t>
        </r>
        <r>
          <rPr>
            <sz val="8"/>
            <color rgb="FF000000"/>
            <rFont val="Tahoma"/>
            <family val="2"/>
            <charset val="1"/>
          </rPr>
          <t xml:space="preserve"> </t>
        </r>
        <r>
          <rPr>
            <b val="true"/>
            <sz val="10"/>
            <color rgb="FF800000"/>
            <rFont val="Tahoma"/>
            <family val="2"/>
            <charset val="1"/>
          </rPr>
          <t xml:space="preserve">1) Recent Audited Statement Bear Disclaimer OPINION
 2) Tangible networth is Negative on recent Statement
 3) Value of Items upon which auditors qualified opinion  
      weighs &gt;=15% as compared to the total assets 
      before exclusion of the descrepant values,
     Write </t>
        </r>
        <r>
          <rPr>
            <b val="true"/>
            <sz val="12"/>
            <color rgb="FFFF00FF"/>
            <rFont val="Tahoma"/>
            <family val="2"/>
            <charset val="1"/>
          </rPr>
          <t xml:space="preserve">MJ</t>
        </r>
        <r>
          <rPr>
            <b val="true"/>
            <sz val="10"/>
            <color rgb="FFFF00FF"/>
            <rFont val="Tahoma"/>
            <family val="2"/>
            <charset val="1"/>
          </rPr>
          <t xml:space="preserve"> </t>
        </r>
        <r>
          <rPr>
            <b val="true"/>
            <sz val="10"/>
            <color rgb="FF800000"/>
            <rFont val="Tahoma"/>
            <family val="2"/>
            <charset val="1"/>
          </rPr>
          <t xml:space="preserve">for  Major And
</t>
        </r>
        <r>
          <rPr>
            <b val="true"/>
            <sz val="12"/>
            <color rgb="FFFF0000"/>
            <rFont val="Tahoma"/>
            <family val="2"/>
            <charset val="1"/>
          </rPr>
          <t xml:space="preserve">IF:
</t>
        </r>
        <r>
          <rPr>
            <b val="true"/>
            <sz val="10"/>
            <color rgb="FF800000"/>
            <rFont val="Tahoma"/>
            <family val="2"/>
            <charset val="1"/>
          </rPr>
          <t xml:space="preserve">1)  Value of Items upon which auditors qualified opinion  
      weighs &lt;15% as compared to the total assets 
      before exclusion of the descrepant values.
  2) Auditors didin't specify value of the item upon 
       which they qualified opinion.
Write </t>
        </r>
        <r>
          <rPr>
            <b val="true"/>
            <sz val="12"/>
            <color rgb="FFFF00FF"/>
            <rFont val="Tahoma"/>
            <family val="2"/>
            <charset val="1"/>
          </rPr>
          <t xml:space="preserve">Mn</t>
        </r>
        <r>
          <rPr>
            <b val="true"/>
            <sz val="10"/>
            <color rgb="FFFF00FF"/>
            <rFont val="Tahoma"/>
            <family val="2"/>
            <charset val="1"/>
          </rPr>
          <t xml:space="preserve"> </t>
        </r>
        <r>
          <rPr>
            <b val="true"/>
            <sz val="10"/>
            <color rgb="FF800000"/>
            <rFont val="Tahoma"/>
            <family val="2"/>
            <charset val="1"/>
          </rPr>
          <t xml:space="preserve">for Minor.</t>
        </r>
      </text>
    </comment>
    <comment ref="D30" authorId="0">
      <text>
        <r>
          <rPr>
            <sz val="10"/>
            <rFont val="Arial"/>
            <family val="2"/>
          </rPr>
          <t xml:space="preserve">CBO Appraisal:
</t>
        </r>
        <r>
          <rPr>
            <b val="true"/>
            <sz val="11"/>
            <color rgb="FF800000"/>
            <rFont val="Tahoma"/>
            <family val="2"/>
            <charset val="1"/>
          </rPr>
          <t xml:space="preserve">
If the last or latest financial statement is CCR write </t>
        </r>
        <r>
          <rPr>
            <b val="true"/>
            <sz val="12"/>
            <color rgb="FF800000"/>
            <rFont val="Tahoma"/>
            <family val="2"/>
            <charset val="1"/>
          </rPr>
          <t xml:space="preserve">Yes</t>
        </r>
        <r>
          <rPr>
            <b val="true"/>
            <sz val="11"/>
            <color rgb="FF800000"/>
            <rFont val="Tahoma"/>
            <family val="2"/>
            <charset val="1"/>
          </rPr>
          <t xml:space="preserve"> for both &gt;= or &lt; Birr 1 million exposure otherwise Write NA</t>
        </r>
      </text>
    </comment>
    <comment ref="D32" authorId="0">
      <text>
        <r>
          <rPr>
            <sz val="10"/>
            <rFont val="Arial"/>
            <family val="2"/>
          </rPr>
          <t xml:space="preserve">CBO Appraisal:
</t>
        </r>
        <r>
          <rPr>
            <sz val="10"/>
            <color rgb="FF000000"/>
            <rFont val="Tahoma"/>
            <family val="2"/>
            <charset val="1"/>
          </rPr>
          <t xml:space="preserve">Enter either </t>
        </r>
        <r>
          <rPr>
            <b val="true"/>
            <sz val="10"/>
            <color rgb="FF333399"/>
            <rFont val="Tahoma"/>
            <family val="2"/>
            <charset val="1"/>
          </rPr>
          <t xml:space="preserve">Favourable  OR  Stable OR Unstable.</t>
        </r>
      </text>
    </comment>
    <comment ref="D33" authorId="0">
      <text>
        <r>
          <rPr>
            <sz val="10"/>
            <rFont val="Arial"/>
            <family val="2"/>
          </rPr>
          <t xml:space="preserve">CBO Appraisal:
</t>
        </r>
        <r>
          <rPr>
            <b val="true"/>
            <sz val="12"/>
            <color rgb="FF800000"/>
            <rFont val="Tahoma"/>
            <family val="2"/>
            <charset val="1"/>
          </rPr>
          <t xml:space="preserve">Select from</t>
        </r>
        <r>
          <rPr>
            <sz val="10"/>
            <color rgb="FF000000"/>
            <rFont val="Tahoma"/>
            <family val="2"/>
            <charset val="1"/>
          </rPr>
          <t xml:space="preserve">  </t>
        </r>
        <r>
          <rPr>
            <b val="true"/>
            <sz val="12"/>
            <color rgb="FF800000"/>
            <rFont val="Tahoma"/>
            <family val="2"/>
            <charset val="1"/>
          </rPr>
          <t xml:space="preserve">Dominant</t>
        </r>
        <r>
          <rPr>
            <b val="true"/>
            <sz val="10"/>
            <color rgb="FF333300"/>
            <rFont val="Tahoma"/>
            <family val="2"/>
            <charset val="1"/>
          </rPr>
          <t xml:space="preserve">, </t>
        </r>
        <r>
          <rPr>
            <b val="true"/>
            <sz val="12"/>
            <color rgb="FF800000"/>
            <rFont val="Tahoma"/>
            <family val="2"/>
            <charset val="1"/>
          </rPr>
          <t xml:space="preserve">Average</t>
        </r>
        <r>
          <rPr>
            <b val="true"/>
            <sz val="10"/>
            <color rgb="FF333300"/>
            <rFont val="Tahoma"/>
            <family val="2"/>
            <charset val="1"/>
          </rPr>
          <t xml:space="preserve"> or </t>
        </r>
        <r>
          <rPr>
            <b val="true"/>
            <sz val="12"/>
            <color rgb="FF800000"/>
            <rFont val="Tahoma"/>
            <family val="2"/>
            <charset val="1"/>
          </rPr>
          <t xml:space="preserve">Weak</t>
        </r>
        <r>
          <rPr>
            <b val="true"/>
            <sz val="10"/>
            <color rgb="FF333300"/>
            <rFont val="Tahoma"/>
            <family val="2"/>
            <charset val="1"/>
          </rPr>
          <t xml:space="preserve">  </t>
        </r>
      </text>
    </comment>
    <comment ref="D35" authorId="0">
      <text>
        <r>
          <rPr>
            <sz val="10"/>
            <rFont val="Arial"/>
            <family val="2"/>
          </rPr>
          <t xml:space="preserve">CBO Appraisal:  
</t>
        </r>
        <r>
          <rPr>
            <b val="true"/>
            <sz val="10"/>
            <color rgb="FFFF00FF"/>
            <rFont val="Tahoma"/>
            <family val="2"/>
            <charset val="1"/>
          </rPr>
          <t xml:space="preserve">Enter Either:
</t>
        </r>
        <r>
          <rPr>
            <b val="true"/>
            <sz val="10"/>
            <color rgb="FF000000"/>
            <rFont val="Tahoma"/>
            <family val="2"/>
            <charset val="1"/>
          </rPr>
          <t xml:space="preserve"> </t>
        </r>
        <r>
          <rPr>
            <b val="true"/>
            <sz val="10"/>
            <color rgb="FFFF0000"/>
            <rFont val="Tahoma"/>
            <family val="2"/>
            <charset val="1"/>
          </rPr>
          <t xml:space="preserve">EX</t>
        </r>
        <r>
          <rPr>
            <b val="true"/>
            <sz val="10"/>
            <color rgb="FF000000"/>
            <rFont val="Tahoma"/>
            <family val="2"/>
            <charset val="1"/>
          </rPr>
          <t xml:space="preserve"> For</t>
        </r>
        <r>
          <rPr>
            <b val="true"/>
            <sz val="10"/>
            <color rgb="FF003300"/>
            <rFont val="Tahoma"/>
            <family val="2"/>
            <charset val="1"/>
          </rPr>
          <t xml:space="preserve">&gt;=50% have &gt; 10 years OR 
</t>
        </r>
        <r>
          <rPr>
            <b val="true"/>
            <sz val="10"/>
            <color rgb="FFFF0000"/>
            <rFont val="Tahoma"/>
            <family val="2"/>
            <charset val="1"/>
          </rPr>
          <t xml:space="preserve">VG </t>
        </r>
        <r>
          <rPr>
            <b val="true"/>
            <sz val="10"/>
            <color rgb="FF003300"/>
            <rFont val="Tahoma"/>
            <family val="2"/>
            <charset val="1"/>
          </rPr>
          <t xml:space="preserve">For &gt;=51% Have &gt; 7 Years OR  
</t>
        </r>
        <r>
          <rPr>
            <b val="true"/>
            <sz val="10"/>
            <color rgb="FFFF0000"/>
            <rFont val="Tahoma"/>
            <family val="2"/>
            <charset val="1"/>
          </rPr>
          <t xml:space="preserve">GD</t>
        </r>
        <r>
          <rPr>
            <b val="true"/>
            <sz val="10"/>
            <color rgb="FF003300"/>
            <rFont val="Tahoma"/>
            <family val="2"/>
            <charset val="1"/>
          </rPr>
          <t xml:space="preserve"> For &gt;=51% Have &gt; 3 Years OR
</t>
        </r>
        <r>
          <rPr>
            <b val="true"/>
            <sz val="10"/>
            <color rgb="FFFF0000"/>
            <rFont val="Tahoma"/>
            <family val="2"/>
            <charset val="1"/>
          </rPr>
          <t xml:space="preserve">WK</t>
        </r>
        <r>
          <rPr>
            <b val="true"/>
            <sz val="10"/>
            <color rgb="FF003300"/>
            <rFont val="Tahoma"/>
            <family val="2"/>
            <charset val="1"/>
          </rPr>
          <t xml:space="preserve"> For  &gt;=51%  Have &lt; 3 years.</t>
        </r>
      </text>
    </comment>
    <comment ref="D36" authorId="0">
      <text>
        <r>
          <rPr>
            <sz val="10"/>
            <rFont val="Arial"/>
            <family val="2"/>
          </rPr>
          <t xml:space="preserve">CBO Appraisal:  
</t>
        </r>
        <r>
          <rPr>
            <b val="true"/>
            <sz val="10"/>
            <color rgb="FFFF00FF"/>
            <rFont val="Tahoma"/>
            <family val="2"/>
            <charset val="1"/>
          </rPr>
          <t xml:space="preserve">Enter Either:
</t>
        </r>
        <r>
          <rPr>
            <b val="true"/>
            <sz val="10"/>
            <color rgb="FF000000"/>
            <rFont val="Tahoma"/>
            <family val="2"/>
            <charset val="1"/>
          </rPr>
          <t xml:space="preserve"> </t>
        </r>
        <r>
          <rPr>
            <b val="true"/>
            <sz val="10"/>
            <color rgb="FFFF0000"/>
            <rFont val="Tahoma"/>
            <family val="2"/>
            <charset val="1"/>
          </rPr>
          <t xml:space="preserve">EX</t>
        </r>
        <r>
          <rPr>
            <b val="true"/>
            <sz val="10"/>
            <color rgb="FF000000"/>
            <rFont val="Tahoma"/>
            <family val="2"/>
            <charset val="1"/>
          </rPr>
          <t xml:space="preserve"> For</t>
        </r>
        <r>
          <rPr>
            <b val="true"/>
            <sz val="10"/>
            <color rgb="FF003300"/>
            <rFont val="Tahoma"/>
            <family val="2"/>
            <charset val="1"/>
          </rPr>
          <t xml:space="preserve">&gt;=50% have &gt; 10 years OR 
</t>
        </r>
        <r>
          <rPr>
            <b val="true"/>
            <sz val="10"/>
            <color rgb="FFFF0000"/>
            <rFont val="Tahoma"/>
            <family val="2"/>
            <charset val="1"/>
          </rPr>
          <t xml:space="preserve">VG </t>
        </r>
        <r>
          <rPr>
            <b val="true"/>
            <sz val="10"/>
            <color rgb="FF003300"/>
            <rFont val="Tahoma"/>
            <family val="2"/>
            <charset val="1"/>
          </rPr>
          <t xml:space="preserve">For &gt;=51% Have &gt; 7 Years OR  
</t>
        </r>
        <r>
          <rPr>
            <b val="true"/>
            <sz val="10"/>
            <color rgb="FFFF0000"/>
            <rFont val="Tahoma"/>
            <family val="2"/>
            <charset val="1"/>
          </rPr>
          <t xml:space="preserve">GD</t>
        </r>
        <r>
          <rPr>
            <b val="true"/>
            <sz val="10"/>
            <color rgb="FF003300"/>
            <rFont val="Tahoma"/>
            <family val="2"/>
            <charset val="1"/>
          </rPr>
          <t xml:space="preserve"> For &gt;=51% Have &gt; 3 Years OR
</t>
        </r>
        <r>
          <rPr>
            <b val="true"/>
            <sz val="10"/>
            <color rgb="FFFF0000"/>
            <rFont val="Tahoma"/>
            <family val="2"/>
            <charset val="1"/>
          </rPr>
          <t xml:space="preserve">WK</t>
        </r>
        <r>
          <rPr>
            <b val="true"/>
            <sz val="10"/>
            <color rgb="FF003300"/>
            <rFont val="Tahoma"/>
            <family val="2"/>
            <charset val="1"/>
          </rPr>
          <t xml:space="preserve"> For  &gt;=51%  Have &lt; 3 years.</t>
        </r>
      </text>
    </comment>
    <comment ref="D37" authorId="0">
      <text>
        <r>
          <rPr>
            <sz val="10"/>
            <rFont val="Arial"/>
            <family val="2"/>
          </rPr>
          <t xml:space="preserve">CBO Appraisal:
</t>
        </r>
        <r>
          <rPr>
            <b val="true"/>
            <sz val="10"/>
            <color rgb="FF800000"/>
            <rFont val="Tahoma"/>
            <family val="2"/>
            <charset val="1"/>
          </rPr>
          <t xml:space="preserve">Enter  Either
 Ready OR  NO</t>
        </r>
      </text>
    </comment>
    <comment ref="D40" authorId="0">
      <text>
        <r>
          <rPr>
            <sz val="10"/>
            <rFont val="Arial"/>
            <family val="2"/>
          </rPr>
          <t xml:space="preserve">CBO Appraisal:
</t>
        </r>
        <r>
          <rPr>
            <b val="true"/>
            <sz val="10"/>
            <color rgb="FF000080"/>
            <rFont val="Tahoma"/>
            <family val="2"/>
            <charset val="1"/>
          </rPr>
          <t xml:space="preserve">Enter the average Percentage of recent three years figure. Do not enter Letters</t>
        </r>
      </text>
    </comment>
    <comment ref="D41" authorId="0">
      <text>
        <r>
          <rPr>
            <sz val="10"/>
            <rFont val="Arial"/>
            <family val="2"/>
          </rPr>
          <t xml:space="preserve">CBO Appraisal:
</t>
        </r>
        <r>
          <rPr>
            <b val="true"/>
            <sz val="10"/>
            <color rgb="FF000000"/>
            <rFont val="Tahoma"/>
            <family val="2"/>
            <charset val="1"/>
          </rPr>
          <t xml:space="preserve">Enter Either:</t>
        </r>
        <r>
          <rPr>
            <sz val="10"/>
            <color rgb="FF000000"/>
            <rFont val="Tahoma"/>
            <family val="2"/>
            <charset val="1"/>
          </rPr>
          <t xml:space="preserve"> 
 </t>
        </r>
        <r>
          <rPr>
            <b val="true"/>
            <sz val="10"/>
            <color rgb="FFFF0000"/>
            <rFont val="Tahoma"/>
            <family val="2"/>
            <charset val="1"/>
          </rPr>
          <t xml:space="preserve">EX</t>
        </r>
        <r>
          <rPr>
            <sz val="10"/>
            <color rgb="FF000000"/>
            <rFont val="Tahoma"/>
            <family val="2"/>
            <charset val="1"/>
          </rPr>
          <t xml:space="preserve"> For </t>
        </r>
        <r>
          <rPr>
            <b val="true"/>
            <sz val="10"/>
            <color rgb="FF000080"/>
            <rFont val="Tahoma"/>
            <family val="2"/>
            <charset val="1"/>
          </rPr>
          <t xml:space="preserve">Credit within 3 months OR  </t>
        </r>
        <r>
          <rPr>
            <b val="true"/>
            <sz val="10"/>
            <color rgb="FFFF0000"/>
            <rFont val="Tahoma"/>
            <family val="2"/>
            <charset val="1"/>
          </rPr>
          <t xml:space="preserve">VG </t>
        </r>
        <r>
          <rPr>
            <b val="true"/>
            <sz val="10"/>
            <color rgb="FF000080"/>
            <rFont val="Tahoma"/>
            <family val="2"/>
            <charset val="1"/>
          </rPr>
          <t xml:space="preserve">For  Credit within 6 months OR </t>
        </r>
        <r>
          <rPr>
            <b val="true"/>
            <sz val="10"/>
            <color rgb="FFFF0000"/>
            <rFont val="Tahoma"/>
            <family val="2"/>
            <charset val="1"/>
          </rPr>
          <t xml:space="preserve">GD</t>
        </r>
        <r>
          <rPr>
            <b val="true"/>
            <sz val="10"/>
            <color rgb="FF000080"/>
            <rFont val="Tahoma"/>
            <family val="2"/>
            <charset val="1"/>
          </rPr>
          <t xml:space="preserve"> For  &lt;=4% within a year.
</t>
        </r>
        <r>
          <rPr>
            <b val="true"/>
            <sz val="10"/>
            <color rgb="FF800000"/>
            <rFont val="Tahoma"/>
            <family val="2"/>
            <charset val="1"/>
          </rPr>
          <t xml:space="preserve">If the actual status is out of the above options, leave the cell idle.</t>
        </r>
      </text>
    </comment>
    <comment ref="D42" authorId="0">
      <text>
        <r>
          <rPr>
            <sz val="10"/>
            <rFont val="Arial"/>
            <family val="2"/>
          </rPr>
          <t xml:space="preserve">CBO Appraisal:
</t>
        </r>
        <r>
          <rPr>
            <b val="true"/>
            <sz val="10"/>
            <color rgb="FF000080"/>
            <rFont val="Tahoma"/>
            <family val="2"/>
            <charset val="1"/>
          </rPr>
          <t xml:space="preserve">Enter the average of recent three years figure. Do not enter letters</t>
        </r>
      </text>
    </comment>
    <comment ref="D44" authorId="0">
      <text>
        <r>
          <rPr>
            <sz val="10"/>
            <rFont val="Arial"/>
            <family val="2"/>
          </rPr>
          <t xml:space="preserve">CBO Appraisal:
</t>
        </r>
        <r>
          <rPr>
            <b val="true"/>
            <sz val="10"/>
            <color rgb="FF003366"/>
            <rFont val="Tahoma"/>
            <family val="2"/>
            <charset val="1"/>
          </rPr>
          <t xml:space="preserve">Enter either:
</t>
        </r>
        <r>
          <rPr>
            <sz val="10"/>
            <color rgb="FF000000"/>
            <rFont val="Tahoma"/>
            <family val="2"/>
            <charset val="1"/>
          </rPr>
          <t xml:space="preserve"> </t>
        </r>
        <r>
          <rPr>
            <b val="true"/>
            <sz val="10"/>
            <color rgb="FFFF0000"/>
            <rFont val="Tahoma"/>
            <family val="2"/>
            <charset val="1"/>
          </rPr>
          <t xml:space="preserve">EX</t>
        </r>
        <r>
          <rPr>
            <sz val="10"/>
            <color rgb="FF000000"/>
            <rFont val="Tahoma"/>
            <family val="2"/>
            <charset val="1"/>
          </rPr>
          <t xml:space="preserve"> For </t>
        </r>
        <r>
          <rPr>
            <b val="true"/>
            <sz val="10"/>
            <color rgb="FF000080"/>
            <rFont val="Tahoma"/>
            <family val="2"/>
            <charset val="1"/>
          </rPr>
          <t xml:space="preserve">Regular Repayment  OR 
</t>
        </r>
        <r>
          <rPr>
            <b val="true"/>
            <sz val="10"/>
            <color rgb="FFFF0000"/>
            <rFont val="Tahoma"/>
            <family val="2"/>
            <charset val="1"/>
          </rPr>
          <t xml:space="preserve">VG</t>
        </r>
        <r>
          <rPr>
            <b val="true"/>
            <sz val="10"/>
            <color rgb="FF000080"/>
            <rFont val="Tahoma"/>
            <family val="2"/>
            <charset val="1"/>
          </rPr>
          <t xml:space="preserve"> For  1-30 Days Arrears OR  
</t>
        </r>
        <r>
          <rPr>
            <b val="true"/>
            <sz val="10"/>
            <color rgb="FFFF0000"/>
            <rFont val="Tahoma"/>
            <family val="2"/>
            <charset val="1"/>
          </rPr>
          <t xml:space="preserve">GD</t>
        </r>
        <r>
          <rPr>
            <b val="true"/>
            <sz val="10"/>
            <color rgb="FF000080"/>
            <rFont val="Tahoma"/>
            <family val="2"/>
            <charset val="1"/>
          </rPr>
          <t xml:space="preserve"> For 31-60 Days Arrears OR 
</t>
        </r>
        <r>
          <rPr>
            <b val="true"/>
            <sz val="10"/>
            <color rgb="FFFF0000"/>
            <rFont val="Tahoma"/>
            <family val="2"/>
            <charset val="1"/>
          </rPr>
          <t xml:space="preserve">WK</t>
        </r>
        <r>
          <rPr>
            <b val="true"/>
            <sz val="10"/>
            <color rgb="FF000080"/>
            <rFont val="Tahoma"/>
            <family val="2"/>
            <charset val="1"/>
          </rPr>
          <t xml:space="preserve"> For  &gt;60 Days Arrears OR </t>
        </r>
        <r>
          <rPr>
            <b val="true"/>
            <sz val="10"/>
            <color rgb="FFFF0000"/>
            <rFont val="Tahoma"/>
            <family val="2"/>
            <charset val="1"/>
          </rPr>
          <t xml:space="preserve">NA. 
</t>
        </r>
        <r>
          <rPr>
            <b val="true"/>
            <sz val="10"/>
            <color rgb="FF0000FF"/>
            <rFont val="Tahoma"/>
            <family val="2"/>
            <charset val="1"/>
          </rPr>
          <t xml:space="preserve">You may also use this parameter for existing Guarantees.
</t>
        </r>
      </text>
    </comment>
    <comment ref="D45" authorId="0">
      <text>
        <r>
          <rPr>
            <sz val="10"/>
            <rFont val="Arial"/>
            <family val="2"/>
          </rPr>
          <t xml:space="preserve">CBO Appraisal:
</t>
        </r>
        <r>
          <rPr>
            <b val="true"/>
            <sz val="10"/>
            <color rgb="FF003366"/>
            <rFont val="Tahoma"/>
            <family val="2"/>
            <charset val="1"/>
          </rPr>
          <t xml:space="preserve">Enter either:
</t>
        </r>
        <r>
          <rPr>
            <sz val="10"/>
            <color rgb="FF000000"/>
            <rFont val="Tahoma"/>
            <family val="2"/>
            <charset val="1"/>
          </rPr>
          <t xml:space="preserve"> </t>
        </r>
        <r>
          <rPr>
            <b val="true"/>
            <sz val="10"/>
            <color rgb="FFFF0000"/>
            <rFont val="Tahoma"/>
            <family val="2"/>
            <charset val="1"/>
          </rPr>
          <t xml:space="preserve">EX</t>
        </r>
        <r>
          <rPr>
            <sz val="10"/>
            <color rgb="FF000000"/>
            <rFont val="Tahoma"/>
            <family val="2"/>
            <charset val="1"/>
          </rPr>
          <t xml:space="preserve"> For </t>
        </r>
        <r>
          <rPr>
            <b val="true"/>
            <sz val="10"/>
            <color rgb="FF000080"/>
            <rFont val="Tahoma"/>
            <family val="2"/>
            <charset val="1"/>
          </rPr>
          <t xml:space="preserve">Regular Repayment  OR 
</t>
        </r>
        <r>
          <rPr>
            <b val="true"/>
            <sz val="10"/>
            <color rgb="FFFF0000"/>
            <rFont val="Tahoma"/>
            <family val="2"/>
            <charset val="1"/>
          </rPr>
          <t xml:space="preserve">VG</t>
        </r>
        <r>
          <rPr>
            <b val="true"/>
            <sz val="10"/>
            <color rgb="FF000080"/>
            <rFont val="Tahoma"/>
            <family val="2"/>
            <charset val="1"/>
          </rPr>
          <t xml:space="preserve"> For  1-30 Days Arrears OR  
</t>
        </r>
        <r>
          <rPr>
            <b val="true"/>
            <sz val="10"/>
            <color rgb="FFFF0000"/>
            <rFont val="Tahoma"/>
            <family val="2"/>
            <charset val="1"/>
          </rPr>
          <t xml:space="preserve">GD</t>
        </r>
        <r>
          <rPr>
            <b val="true"/>
            <sz val="10"/>
            <color rgb="FF000080"/>
            <rFont val="Tahoma"/>
            <family val="2"/>
            <charset val="1"/>
          </rPr>
          <t xml:space="preserve"> For 31-60 Days Arrears OR 
</t>
        </r>
        <r>
          <rPr>
            <b val="true"/>
            <sz val="10"/>
            <color rgb="FFFF0000"/>
            <rFont val="Tahoma"/>
            <family val="2"/>
            <charset val="1"/>
          </rPr>
          <t xml:space="preserve">WK</t>
        </r>
        <r>
          <rPr>
            <b val="true"/>
            <sz val="10"/>
            <color rgb="FF000080"/>
            <rFont val="Tahoma"/>
            <family val="2"/>
            <charset val="1"/>
          </rPr>
          <t xml:space="preserve"> For  &gt;60 Days Arrears OR </t>
        </r>
        <r>
          <rPr>
            <b val="true"/>
            <sz val="10"/>
            <color rgb="FFFF0000"/>
            <rFont val="Tahoma"/>
            <family val="2"/>
            <charset val="1"/>
          </rPr>
          <t xml:space="preserve">NA. 
</t>
        </r>
        <r>
          <rPr>
            <b val="true"/>
            <sz val="10"/>
            <color rgb="FF0000FF"/>
            <rFont val="Tahoma"/>
            <family val="2"/>
            <charset val="1"/>
          </rPr>
          <t xml:space="preserve">You may also use this parameter for existing Guarantees.
</t>
        </r>
      </text>
    </comment>
    <comment ref="D47" authorId="0">
      <text>
        <r>
          <rPr>
            <sz val="10"/>
            <rFont val="Arial"/>
            <family val="2"/>
          </rPr>
          <t xml:space="preserve">CBO Appraisal:
</t>
        </r>
        <r>
          <rPr>
            <b val="true"/>
            <sz val="10"/>
            <color rgb="FF003366"/>
            <rFont val="Tahoma"/>
            <family val="2"/>
            <charset val="1"/>
          </rPr>
          <t xml:space="preserve">Enter either:
</t>
        </r>
        <r>
          <rPr>
            <sz val="10"/>
            <color rgb="FF000000"/>
            <rFont val="Tahoma"/>
            <family val="2"/>
            <charset val="1"/>
          </rPr>
          <t xml:space="preserve"> </t>
        </r>
        <r>
          <rPr>
            <b val="true"/>
            <sz val="10"/>
            <color rgb="FFFF0000"/>
            <rFont val="Tahoma"/>
            <family val="2"/>
            <charset val="1"/>
          </rPr>
          <t xml:space="preserve">EX</t>
        </r>
        <r>
          <rPr>
            <sz val="10"/>
            <color rgb="FF000000"/>
            <rFont val="Tahoma"/>
            <family val="2"/>
            <charset val="1"/>
          </rPr>
          <t xml:space="preserve"> For </t>
        </r>
        <r>
          <rPr>
            <b val="true"/>
            <sz val="10"/>
            <color rgb="FF000080"/>
            <rFont val="Tahoma"/>
            <family val="2"/>
            <charset val="1"/>
          </rPr>
          <t xml:space="preserve">Regular Repayment  OR 
</t>
        </r>
        <r>
          <rPr>
            <b val="true"/>
            <sz val="10"/>
            <color rgb="FFFF0000"/>
            <rFont val="Tahoma"/>
            <family val="2"/>
            <charset val="1"/>
          </rPr>
          <t xml:space="preserve">VG</t>
        </r>
        <r>
          <rPr>
            <b val="true"/>
            <sz val="10"/>
            <color rgb="FF000080"/>
            <rFont val="Tahoma"/>
            <family val="2"/>
            <charset val="1"/>
          </rPr>
          <t xml:space="preserve"> For  1-30 Days Arrears OR  
</t>
        </r>
        <r>
          <rPr>
            <b val="true"/>
            <sz val="10"/>
            <color rgb="FFFF0000"/>
            <rFont val="Tahoma"/>
            <family val="2"/>
            <charset val="1"/>
          </rPr>
          <t xml:space="preserve">GD</t>
        </r>
        <r>
          <rPr>
            <b val="true"/>
            <sz val="10"/>
            <color rgb="FF000080"/>
            <rFont val="Tahoma"/>
            <family val="2"/>
            <charset val="1"/>
          </rPr>
          <t xml:space="preserve"> For 31-60 Days Arrears OR 
</t>
        </r>
        <r>
          <rPr>
            <b val="true"/>
            <sz val="10"/>
            <color rgb="FFFF0000"/>
            <rFont val="Tahoma"/>
            <family val="2"/>
            <charset val="1"/>
          </rPr>
          <t xml:space="preserve">WK</t>
        </r>
        <r>
          <rPr>
            <b val="true"/>
            <sz val="10"/>
            <color rgb="FF000080"/>
            <rFont val="Tahoma"/>
            <family val="2"/>
            <charset val="1"/>
          </rPr>
          <t xml:space="preserve"> For  &gt;60 Days Arrears OR </t>
        </r>
        <r>
          <rPr>
            <b val="true"/>
            <sz val="10"/>
            <color rgb="FFFF0000"/>
            <rFont val="Tahoma"/>
            <family val="2"/>
            <charset val="1"/>
          </rPr>
          <t xml:space="preserve">NA. 
</t>
        </r>
        <r>
          <rPr>
            <b val="true"/>
            <sz val="10"/>
            <color rgb="FF0000FF"/>
            <rFont val="Tahoma"/>
            <family val="2"/>
            <charset val="1"/>
          </rPr>
          <t xml:space="preserve">You may also use this parameter for existing Guarantees.
</t>
        </r>
      </text>
    </comment>
    <comment ref="D48" authorId="2">
      <text>
        <r>
          <rPr>
            <sz val="10"/>
            <rFont val="Arial"/>
            <family val="2"/>
          </rPr>
          <t xml:space="preserve">CBO Appraisal:
: Enter the average number
</t>
        </r>
        <r>
          <rPr>
            <sz val="8"/>
            <color rgb="FF000000"/>
            <rFont val="Tahoma"/>
            <family val="2"/>
            <charset val="1"/>
          </rPr>
          <t xml:space="preserve">Do not enter letters
</t>
        </r>
      </text>
    </comment>
    <comment ref="D50" authorId="2">
      <text>
        <r>
          <rPr>
            <sz val="10"/>
            <rFont val="Arial"/>
            <family val="2"/>
          </rPr>
          <t xml:space="preserve">CBO Appraisal:
</t>
        </r>
        <r>
          <rPr>
            <b val="true"/>
            <sz val="11"/>
            <color rgb="FF800000"/>
            <rFont val="Tahoma"/>
            <family val="2"/>
            <charset val="1"/>
          </rPr>
          <t xml:space="preserve">Enter the average Figure. Do not enter letters.</t>
        </r>
      </text>
    </comment>
    <comment ref="D51" authorId="0">
      <text>
        <r>
          <rPr>
            <sz val="10"/>
            <rFont val="Arial"/>
            <family val="2"/>
          </rPr>
          <t xml:space="preserve">CBO Appraisal:
</t>
        </r>
        <r>
          <rPr>
            <b val="true"/>
            <sz val="10"/>
            <color rgb="FF003366"/>
            <rFont val="Tahoma"/>
            <family val="2"/>
            <charset val="1"/>
          </rPr>
          <t xml:space="preserve">Enter either:
</t>
        </r>
        <r>
          <rPr>
            <sz val="10"/>
            <color rgb="FF000000"/>
            <rFont val="Tahoma"/>
            <family val="2"/>
            <charset val="1"/>
          </rPr>
          <t xml:space="preserve"> </t>
        </r>
        <r>
          <rPr>
            <b val="true"/>
            <sz val="10"/>
            <color rgb="FFFF0000"/>
            <rFont val="Tahoma"/>
            <family val="2"/>
            <charset val="1"/>
          </rPr>
          <t xml:space="preserve">EX</t>
        </r>
        <r>
          <rPr>
            <sz val="10"/>
            <color rgb="FF000000"/>
            <rFont val="Tahoma"/>
            <family val="2"/>
            <charset val="1"/>
          </rPr>
          <t xml:space="preserve"> For </t>
        </r>
        <r>
          <rPr>
            <b val="true"/>
            <sz val="10"/>
            <color rgb="FF000080"/>
            <rFont val="Tahoma"/>
            <family val="2"/>
            <charset val="1"/>
          </rPr>
          <t xml:space="preserve">Regular Repayment  OR 
</t>
        </r>
        <r>
          <rPr>
            <b val="true"/>
            <sz val="10"/>
            <color rgb="FFFF0000"/>
            <rFont val="Tahoma"/>
            <family val="2"/>
            <charset val="1"/>
          </rPr>
          <t xml:space="preserve">VG</t>
        </r>
        <r>
          <rPr>
            <b val="true"/>
            <sz val="10"/>
            <color rgb="FF000080"/>
            <rFont val="Tahoma"/>
            <family val="2"/>
            <charset val="1"/>
          </rPr>
          <t xml:space="preserve"> For  1-30 Days Arrears OR  
</t>
        </r>
        <r>
          <rPr>
            <b val="true"/>
            <sz val="10"/>
            <color rgb="FFFF0000"/>
            <rFont val="Tahoma"/>
            <family val="2"/>
            <charset val="1"/>
          </rPr>
          <t xml:space="preserve">GD</t>
        </r>
        <r>
          <rPr>
            <b val="true"/>
            <sz val="10"/>
            <color rgb="FF000080"/>
            <rFont val="Tahoma"/>
            <family val="2"/>
            <charset val="1"/>
          </rPr>
          <t xml:space="preserve"> For 31-60 Days Arrears OR 
</t>
        </r>
        <r>
          <rPr>
            <b val="true"/>
            <sz val="10"/>
            <color rgb="FFFF0000"/>
            <rFont val="Tahoma"/>
            <family val="2"/>
            <charset val="1"/>
          </rPr>
          <t xml:space="preserve">WK</t>
        </r>
        <r>
          <rPr>
            <b val="true"/>
            <sz val="10"/>
            <color rgb="FF000080"/>
            <rFont val="Tahoma"/>
            <family val="2"/>
            <charset val="1"/>
          </rPr>
          <t xml:space="preserve"> For  &gt;60 Days Arrears OR </t>
        </r>
        <r>
          <rPr>
            <b val="true"/>
            <sz val="10"/>
            <color rgb="FFFF0000"/>
            <rFont val="Tahoma"/>
            <family val="2"/>
            <charset val="1"/>
          </rPr>
          <t xml:space="preserve">NA. 
</t>
        </r>
        <r>
          <rPr>
            <b val="true"/>
            <sz val="10"/>
            <color rgb="FF0000FF"/>
            <rFont val="Tahoma"/>
            <family val="2"/>
            <charset val="1"/>
          </rPr>
          <t xml:space="preserve">You may also use this parameter for existing Guarantees.
</t>
        </r>
      </text>
    </comment>
    <comment ref="D53" authorId="2">
      <text>
        <r>
          <rPr>
            <sz val="10"/>
            <rFont val="Arial"/>
            <family val="2"/>
          </rPr>
          <t xml:space="preserve">CBO Appraisal
Enter Average Figure Do not enter letters:
</t>
        </r>
      </text>
    </comment>
    <comment ref="D54" authorId="0">
      <text>
        <r>
          <rPr>
            <sz val="10"/>
            <rFont val="Arial"/>
            <family val="2"/>
          </rPr>
          <t xml:space="preserve">CBO Appraisal:
</t>
        </r>
        <r>
          <rPr>
            <b val="true"/>
            <sz val="10"/>
            <color rgb="FFFF00FF"/>
            <rFont val="Tahoma"/>
            <family val="2"/>
            <charset val="1"/>
          </rPr>
          <t xml:space="preserve">Enter either:
</t>
        </r>
        <r>
          <rPr>
            <b val="true"/>
            <sz val="10"/>
            <color rgb="FFFF0000"/>
            <rFont val="Tahoma"/>
            <family val="2"/>
            <charset val="1"/>
          </rPr>
          <t xml:space="preserve">EX </t>
        </r>
        <r>
          <rPr>
            <sz val="10"/>
            <color rgb="FF000000"/>
            <rFont val="Tahoma"/>
            <family val="2"/>
            <charset val="1"/>
          </rPr>
          <t xml:space="preserve">For </t>
        </r>
        <r>
          <rPr>
            <b val="true"/>
            <sz val="10"/>
            <color rgb="FF333399"/>
            <rFont val="Tahoma"/>
            <family val="2"/>
            <charset val="1"/>
          </rPr>
          <t xml:space="preserve">Settled</t>
        </r>
        <r>
          <rPr>
            <b val="true"/>
            <sz val="10"/>
            <color rgb="FF000080"/>
            <rFont val="Tahoma"/>
            <family val="2"/>
            <charset val="1"/>
          </rPr>
          <t xml:space="preserve"> within 180 days  OR 
</t>
        </r>
        <r>
          <rPr>
            <b val="true"/>
            <sz val="10"/>
            <color rgb="FFFF0000"/>
            <rFont val="Tahoma"/>
            <family val="2"/>
            <charset val="1"/>
          </rPr>
          <t xml:space="preserve">VG</t>
        </r>
        <r>
          <rPr>
            <b val="true"/>
            <sz val="10"/>
            <color rgb="FF000080"/>
            <rFont val="Tahoma"/>
            <family val="2"/>
            <charset val="1"/>
          </rPr>
          <t xml:space="preserve"> For  Settled within 200 days OR 
</t>
        </r>
        <r>
          <rPr>
            <b val="true"/>
            <sz val="10"/>
            <color rgb="FFFF0000"/>
            <rFont val="Tahoma"/>
            <family val="2"/>
            <charset val="1"/>
          </rPr>
          <t xml:space="preserve">WK</t>
        </r>
        <r>
          <rPr>
            <b val="true"/>
            <sz val="10"/>
            <color rgb="FF000080"/>
            <rFont val="Tahoma"/>
            <family val="2"/>
            <charset val="1"/>
          </rPr>
          <t xml:space="preserve"> For Settled after 200 days
</t>
        </r>
      </text>
    </comment>
    <comment ref="D56" authorId="0">
      <text>
        <r>
          <rPr>
            <sz val="10"/>
            <rFont val="Arial"/>
            <family val="2"/>
          </rPr>
          <t xml:space="preserve">CBO Appraisal:
</t>
        </r>
        <r>
          <rPr>
            <b val="true"/>
            <sz val="10"/>
            <color rgb="FF000080"/>
            <rFont val="Tahoma"/>
            <family val="2"/>
            <charset val="1"/>
          </rPr>
          <t xml:space="preserve">Enter the average of recent three years or available figure .Do not enter letters</t>
        </r>
      </text>
    </comment>
    <comment ref="D58" authorId="0">
      <text>
        <r>
          <rPr>
            <sz val="10"/>
            <rFont val="Arial"/>
            <family val="2"/>
          </rPr>
          <t xml:space="preserve">CBO Appraisal:
</t>
        </r>
        <r>
          <rPr>
            <b val="true"/>
            <sz val="10"/>
            <color rgb="FFFF00FF"/>
            <rFont val="Tahoma"/>
            <family val="2"/>
            <charset val="1"/>
          </rPr>
          <t xml:space="preserve">Enter either:
</t>
        </r>
        <r>
          <rPr>
            <b val="true"/>
            <sz val="10"/>
            <color rgb="FFFF0000"/>
            <rFont val="Tahoma"/>
            <family val="2"/>
            <charset val="1"/>
          </rPr>
          <t xml:space="preserve">EX </t>
        </r>
        <r>
          <rPr>
            <sz val="10"/>
            <color rgb="FF000000"/>
            <rFont val="Tahoma"/>
            <family val="2"/>
            <charset val="1"/>
          </rPr>
          <t xml:space="preserve">For </t>
        </r>
        <r>
          <rPr>
            <b val="true"/>
            <sz val="10"/>
            <color rgb="FF333399"/>
            <rFont val="Tahoma"/>
            <family val="2"/>
            <charset val="1"/>
          </rPr>
          <t xml:space="preserve">Settled</t>
        </r>
        <r>
          <rPr>
            <b val="true"/>
            <sz val="10"/>
            <color rgb="FF000080"/>
            <rFont val="Tahoma"/>
            <family val="2"/>
            <charset val="1"/>
          </rPr>
          <t xml:space="preserve"> within 180 days  OR 
</t>
        </r>
        <r>
          <rPr>
            <b val="true"/>
            <sz val="10"/>
            <color rgb="FFFF0000"/>
            <rFont val="Tahoma"/>
            <family val="2"/>
            <charset val="1"/>
          </rPr>
          <t xml:space="preserve">VG</t>
        </r>
        <r>
          <rPr>
            <b val="true"/>
            <sz val="10"/>
            <color rgb="FF000080"/>
            <rFont val="Tahoma"/>
            <family val="2"/>
            <charset val="1"/>
          </rPr>
          <t xml:space="preserve"> For  Settled within 200 days OR 
</t>
        </r>
        <r>
          <rPr>
            <b val="true"/>
            <sz val="10"/>
            <color rgb="FFFF0000"/>
            <rFont val="Tahoma"/>
            <family val="2"/>
            <charset val="1"/>
          </rPr>
          <t xml:space="preserve">WK</t>
        </r>
        <r>
          <rPr>
            <b val="true"/>
            <sz val="10"/>
            <color rgb="FF000080"/>
            <rFont val="Tahoma"/>
            <family val="2"/>
            <charset val="1"/>
          </rPr>
          <t xml:space="preserve"> For Settled after 200 days
</t>
        </r>
      </text>
    </comment>
    <comment ref="D59" authorId="2">
      <text>
        <r>
          <rPr>
            <sz val="10"/>
            <rFont val="Arial"/>
            <family val="2"/>
          </rPr>
          <t xml:space="preserve">CBO Appraisal:
</t>
        </r>
        <r>
          <rPr>
            <b val="true"/>
            <sz val="11"/>
            <color rgb="FF800000"/>
            <rFont val="Tahoma"/>
            <family val="2"/>
            <charset val="1"/>
          </rPr>
          <t xml:space="preserve">Enter the average of recent three years or available figure.Do not enter letters.</t>
        </r>
      </text>
    </comment>
    <comment ref="D61" authorId="2">
      <text>
        <r>
          <rPr>
            <sz val="10"/>
            <rFont val="Arial"/>
            <family val="2"/>
          </rPr>
          <t xml:space="preserve"> CBO Appraisal:
1)Guarantee referes all type of letter of guarantees.'
2) '</t>
        </r>
        <r>
          <rPr>
            <b val="true"/>
            <sz val="8"/>
            <color rgb="FFFF0000"/>
            <rFont val="Tahoma"/>
            <family val="2"/>
            <charset val="1"/>
          </rPr>
          <t xml:space="preserve">After </t>
        </r>
        <r>
          <rPr>
            <b val="true"/>
            <sz val="10"/>
            <color rgb="FFFF0000"/>
            <rFont val="Tahoma"/>
            <family val="2"/>
            <charset val="1"/>
          </rPr>
          <t xml:space="preserve">Claim' </t>
        </r>
        <r>
          <rPr>
            <b val="true"/>
            <sz val="10"/>
            <color rgb="FF000000"/>
            <rFont val="Tahoma"/>
            <family val="2"/>
            <charset val="1"/>
          </rPr>
          <t xml:space="preserve">shall be defined if the CBO Settled the claimed amount based  
     on its unconditional guarantee
</t>
        </r>
        <r>
          <rPr>
            <b val="true"/>
            <sz val="11"/>
            <color rgb="FF000000"/>
            <rFont val="Tahoma"/>
            <family val="2"/>
            <charset val="1"/>
          </rPr>
          <t xml:space="preserve">3) </t>
        </r>
        <r>
          <rPr>
            <b val="true"/>
            <sz val="10"/>
            <color rgb="FF000000"/>
            <rFont val="Tahoma"/>
            <family val="2"/>
            <charset val="1"/>
          </rPr>
          <t xml:space="preserve">Write </t>
        </r>
        <r>
          <rPr>
            <b val="true"/>
            <sz val="11"/>
            <color rgb="FFFF00FF"/>
            <rFont val="Tahoma"/>
            <family val="2"/>
            <charset val="1"/>
          </rPr>
          <t xml:space="preserve">WC</t>
        </r>
        <r>
          <rPr>
            <b val="true"/>
            <sz val="11"/>
            <color rgb="FF000000"/>
            <rFont val="Tahoma"/>
            <family val="2"/>
            <charset val="1"/>
          </rPr>
          <t xml:space="preserve"> </t>
        </r>
        <r>
          <rPr>
            <b val="true"/>
            <sz val="10"/>
            <color rgb="FF000000"/>
            <rFont val="Tahoma"/>
            <family val="2"/>
            <charset val="1"/>
          </rPr>
          <t xml:space="preserve">if  most of the past guarantees settled by the borrower
</t>
        </r>
        <r>
          <rPr>
            <b val="true"/>
            <sz val="11"/>
            <color rgb="FF000000"/>
            <rFont val="Tahoma"/>
            <family val="2"/>
            <charset val="1"/>
          </rPr>
          <t xml:space="preserve">4) </t>
        </r>
        <r>
          <rPr>
            <b val="true"/>
            <sz val="10"/>
            <color rgb="FF000000"/>
            <rFont val="Tahoma"/>
            <family val="2"/>
            <charset val="1"/>
          </rPr>
          <t xml:space="preserve">Write</t>
        </r>
        <r>
          <rPr>
            <b val="true"/>
            <sz val="11"/>
            <color rgb="FF000000"/>
            <rFont val="Tahoma"/>
            <family val="2"/>
            <charset val="1"/>
          </rPr>
          <t xml:space="preserve"> </t>
        </r>
        <r>
          <rPr>
            <b val="true"/>
            <sz val="11"/>
            <color rgb="FFFF00FF"/>
            <rFont val="Tahoma"/>
            <family val="2"/>
            <charset val="1"/>
          </rPr>
          <t xml:space="preserve">AC </t>
        </r>
        <r>
          <rPr>
            <b val="true"/>
            <sz val="10"/>
            <color rgb="FF003300"/>
            <rFont val="Tahoma"/>
            <family val="2"/>
            <charset val="1"/>
          </rPr>
          <t xml:space="preserve">if  the past guarantees settled by the CBO.
</t>
        </r>
      </text>
    </comment>
    <comment ref="D62" authorId="2">
      <text>
        <r>
          <rPr>
            <sz val="10"/>
            <rFont val="Arial"/>
            <family val="2"/>
          </rPr>
          <t xml:space="preserve">CBO Appraisal:
</t>
        </r>
        <r>
          <rPr>
            <sz val="8"/>
            <color rgb="FF000000"/>
            <rFont val="Tahoma"/>
            <family val="2"/>
            <charset val="1"/>
          </rPr>
          <t xml:space="preserve">
</t>
        </r>
        <r>
          <rPr>
            <b val="true"/>
            <sz val="10"/>
            <color rgb="FF800000"/>
            <rFont val="Tahoma"/>
            <family val="2"/>
            <charset val="1"/>
          </rPr>
          <t xml:space="preserve">If at least one among previous credit facilities except Letter of gurantees:
1) Write SS for loan setteled under normal payment
1) Settled after Conversion due  
    to poor performance,Write </t>
        </r>
        <r>
          <rPr>
            <b val="true"/>
            <sz val="12"/>
            <color rgb="FFFF00FF"/>
            <rFont val="Tahoma"/>
            <family val="2"/>
            <charset val="1"/>
          </rPr>
          <t xml:space="preserve">PP </t>
        </r>
        <r>
          <rPr>
            <b val="true"/>
            <sz val="8"/>
            <color rgb="FFFF00FF"/>
            <rFont val="Tahoma"/>
            <family val="2"/>
            <charset val="1"/>
          </rPr>
          <t xml:space="preserve">(Poor Performance)
</t>
        </r>
        <r>
          <rPr>
            <b val="true"/>
            <sz val="10"/>
            <color rgb="FF800000"/>
            <rFont val="Tahoma"/>
            <family val="2"/>
            <charset val="1"/>
          </rPr>
          <t xml:space="preserve">2) Settled by means of second  
     wayout.Write</t>
        </r>
        <r>
          <rPr>
            <b val="true"/>
            <sz val="10"/>
            <color rgb="FFFF00FF"/>
            <rFont val="Tahoma"/>
            <family val="2"/>
            <charset val="1"/>
          </rPr>
          <t xml:space="preserve"> </t>
        </r>
        <r>
          <rPr>
            <b val="true"/>
            <sz val="12"/>
            <color rgb="FFFF00FF"/>
            <rFont val="Tahoma"/>
            <family val="2"/>
            <charset val="1"/>
          </rPr>
          <t xml:space="preserve">SW
</t>
        </r>
        <r>
          <rPr>
            <b val="true"/>
            <sz val="10"/>
            <color rgb="FF800000"/>
            <rFont val="Tahoma"/>
            <family val="2"/>
            <charset val="1"/>
          </rPr>
          <t xml:space="preserve">3)Settled through buyout,           
    Write  </t>
        </r>
        <r>
          <rPr>
            <b val="true"/>
            <sz val="12"/>
            <color rgb="FFFF00FF"/>
            <rFont val="Tahoma"/>
            <family val="2"/>
            <charset val="1"/>
          </rPr>
          <t xml:space="preserve">BY</t>
        </r>
        <r>
          <rPr>
            <b val="true"/>
            <sz val="10"/>
            <color rgb="FFFF00FF"/>
            <rFont val="Tahoma"/>
            <family val="2"/>
            <charset val="1"/>
          </rPr>
          <t xml:space="preserve"> </t>
        </r>
        <r>
          <rPr>
            <b val="true"/>
            <sz val="10"/>
            <color rgb="FF800000"/>
            <rFont val="Tahoma"/>
            <family val="2"/>
            <charset val="1"/>
          </rPr>
          <t xml:space="preserve">  
4) If there is apossiblility of occurence more than one negative factors together, use the worst one. Eg.if PP &amp; Sw come together use SW.
  </t>
        </r>
      </text>
    </comment>
    <comment ref="D65" authorId="0">
      <text>
        <r>
          <rPr>
            <sz val="10"/>
            <rFont val="Arial"/>
            <family val="2"/>
          </rPr>
          <t xml:space="preserve">CBO Appraisal:
</t>
        </r>
        <r>
          <rPr>
            <sz val="10"/>
            <color rgb="FF000000"/>
            <rFont val="Tahoma"/>
            <family val="2"/>
            <charset val="1"/>
          </rPr>
          <t xml:space="preserve">
</t>
        </r>
        <r>
          <rPr>
            <b val="true"/>
            <sz val="11"/>
            <color rgb="FF000080"/>
            <rFont val="Tahoma"/>
            <family val="2"/>
            <charset val="1"/>
          </rPr>
          <t xml:space="preserve">Enter the length of years in borrowining relationship . 
In case the relationship discontinued in between,reduce the said period. 'NA' if it is not applicable .
</t>
        </r>
        <r>
          <rPr>
            <b val="true"/>
            <sz val="12"/>
            <color rgb="FFFF0000"/>
            <rFont val="Tahoma"/>
            <family val="2"/>
            <charset val="1"/>
          </rPr>
          <t xml:space="preserve">DO NOT USE</t>
        </r>
        <r>
          <rPr>
            <b val="true"/>
            <sz val="12"/>
            <color rgb="FF000080"/>
            <rFont val="Tahoma"/>
            <family val="2"/>
            <charset val="1"/>
          </rPr>
          <t xml:space="preserve"> </t>
        </r>
        <r>
          <rPr>
            <b val="true"/>
            <sz val="12"/>
            <color rgb="FF800000"/>
            <rFont val="Tahoma"/>
            <family val="2"/>
            <charset val="1"/>
          </rPr>
          <t xml:space="preserve">M</t>
        </r>
        <r>
          <rPr>
            <b val="true"/>
            <sz val="11"/>
            <color rgb="FF800000"/>
            <rFont val="Tahoma"/>
            <family val="2"/>
            <charset val="1"/>
          </rPr>
          <t xml:space="preserve">athimatical symbols like &gt;,&lt; OR =. Write the value only using numbers. If the number is less than one year write it using the numbers betwen 0.1 up to 0.99 etc
If </t>
        </r>
        <r>
          <rPr>
            <b val="true"/>
            <sz val="11"/>
            <color rgb="FFFF00FF"/>
            <rFont val="Tahoma"/>
            <family val="2"/>
            <charset val="1"/>
          </rPr>
          <t xml:space="preserve">Borrowing Relationship Started with individual  person</t>
        </r>
        <r>
          <rPr>
            <b val="true"/>
            <sz val="11"/>
            <color rgb="FF800000"/>
            <rFont val="Tahoma"/>
            <family val="2"/>
            <charset val="1"/>
          </rPr>
          <t xml:space="preserve"> and the relationship continued when that individual person established a company including other shareholders,count the length of relationship</t>
        </r>
        <r>
          <rPr>
            <b val="true"/>
            <sz val="11"/>
            <color rgb="FFFF00FF"/>
            <rFont val="Tahoma"/>
            <family val="2"/>
            <charset val="1"/>
          </rPr>
          <t xml:space="preserve"> starting from  the date the stated individual started relationship if and only if that individual has &gt;=50% share in the company,</t>
        </r>
        <r>
          <rPr>
            <b val="true"/>
            <sz val="11"/>
            <color rgb="FF800000"/>
            <rFont val="Tahoma"/>
            <family val="2"/>
            <charset val="1"/>
          </rPr>
          <t xml:space="preserve"> otherwise the length shall be counted as of the date the new company started borrowing relationship.
</t>
        </r>
        <r>
          <rPr>
            <b val="true"/>
            <sz val="10"/>
            <color rgb="FF000080"/>
            <rFont val="Tahoma"/>
            <family val="2"/>
            <charset val="1"/>
          </rPr>
          <t xml:space="preserve">
</t>
        </r>
      </text>
    </comment>
    <comment ref="D66" authorId="0">
      <text>
        <r>
          <rPr>
            <sz val="10"/>
            <rFont val="Arial"/>
            <family val="2"/>
          </rPr>
          <t xml:space="preserve">CBO Appraisal:
</t>
        </r>
        <r>
          <rPr>
            <b val="true"/>
            <sz val="10"/>
            <color rgb="FF800000"/>
            <rFont val="Tahoma"/>
            <family val="2"/>
            <charset val="1"/>
          </rPr>
          <t xml:space="preserve">Enter either High </t>
        </r>
        <r>
          <rPr>
            <b val="true"/>
            <sz val="14"/>
            <color rgb="FFFF00FF"/>
            <rFont val="Tahoma"/>
            <family val="2"/>
            <charset val="1"/>
          </rPr>
          <t xml:space="preserve">,</t>
        </r>
        <r>
          <rPr>
            <b val="true"/>
            <sz val="10"/>
            <color rgb="FF800000"/>
            <rFont val="Tahoma"/>
            <family val="2"/>
            <charset val="1"/>
          </rPr>
          <t xml:space="preserve">Medium , or Low Or NA</t>
        </r>
      </text>
    </comment>
    <comment ref="D67" authorId="0">
      <text>
        <r>
          <rPr>
            <sz val="10"/>
            <rFont val="Arial"/>
            <family val="2"/>
          </rPr>
          <t xml:space="preserve">CBO Appraisal:
Enter Either :
</t>
        </r>
        <r>
          <rPr>
            <b val="true"/>
            <sz val="10"/>
            <color rgb="FF000000"/>
            <rFont val="Tahoma"/>
            <family val="2"/>
            <charset val="1"/>
          </rPr>
          <t xml:space="preserve"> </t>
        </r>
        <r>
          <rPr>
            <b val="true"/>
            <sz val="10"/>
            <color rgb="FF000080"/>
            <rFont val="Tahoma"/>
            <family val="2"/>
            <charset val="1"/>
          </rPr>
          <t xml:space="preserve">Yes or No </t>
        </r>
      </text>
    </comment>
    <comment ref="E6" authorId="0">
      <text>
        <r>
          <rPr>
            <sz val="10"/>
            <rFont val="Arial"/>
            <family val="2"/>
          </rPr>
          <t xml:space="preserve">CBO Appraisal:
</t>
        </r>
        <r>
          <rPr>
            <b val="true"/>
            <sz val="12"/>
            <color rgb="FF003366"/>
            <rFont val="Tahoma"/>
            <family val="2"/>
            <charset val="1"/>
          </rPr>
          <t xml:space="preserve">Here write the worst Risk Grade  from the related companies or individuals according to the following definition</t>
        </r>
        <r>
          <rPr>
            <b val="true"/>
            <sz val="10"/>
            <color rgb="FF000000"/>
            <rFont val="Tahoma"/>
            <family val="2"/>
            <charset val="1"/>
          </rPr>
          <t xml:space="preserve"> '</t>
        </r>
        <r>
          <rPr>
            <b val="true"/>
            <sz val="12"/>
            <color rgb="FF800080"/>
            <rFont val="Tahoma"/>
            <family val="2"/>
            <charset val="1"/>
          </rPr>
          <t xml:space="preserve">Shareholders in the applicant company having 50% or more stake in a related/sister company or having shareholders of first degree consanguinity as major shareholders, shall take the credit risk rating of the parent company, or the related/sister company, or company being graded/rated (the applicant), whichever is the worst grade/rate' . </t>
        </r>
        <r>
          <rPr>
            <b val="true"/>
            <sz val="12"/>
            <color rgb="FF008000"/>
            <rFont val="Tahoma"/>
            <family val="2"/>
            <charset val="1"/>
          </rPr>
          <t xml:space="preserve">You may indicate as 'NA' if it is not Applicable.</t>
        </r>
      </text>
    </comment>
    <comment ref="E16" authorId="0">
      <text>
        <r>
          <rPr>
            <sz val="10"/>
            <rFont val="Arial"/>
            <family val="2"/>
          </rPr>
          <t xml:space="preserve">CBO Appraisal:
</t>
        </r>
        <r>
          <rPr>
            <b val="true"/>
            <sz val="12"/>
            <color rgb="FF003366"/>
            <rFont val="Tahoma"/>
            <family val="2"/>
            <charset val="1"/>
          </rPr>
          <t xml:space="preserve">if you observed this message  </t>
        </r>
        <r>
          <rPr>
            <b val="true"/>
            <sz val="12"/>
            <color rgb="FFFF0000"/>
            <rFont val="Tahoma"/>
            <family val="2"/>
            <charset val="1"/>
          </rPr>
          <t xml:space="preserve">#DIV/0!</t>
        </r>
        <r>
          <rPr>
            <b val="true"/>
            <sz val="12"/>
            <color rgb="FF003366"/>
            <rFont val="Tahoma"/>
            <family val="2"/>
            <charset val="1"/>
          </rPr>
          <t xml:space="preserve"> in this cell, it tmeans number division by Zero is Impossible. Check that the value you enterd in cell G-74 is not Zero.</t>
        </r>
      </text>
    </comment>
    <comment ref="E38" authorId="0">
      <text>
        <r>
          <rPr>
            <sz val="10"/>
            <rFont val="Arial"/>
            <family val="2"/>
          </rPr>
          <t xml:space="preserve">CBO Appraisal:
</t>
        </r>
        <r>
          <rPr>
            <b val="true"/>
            <sz val="12"/>
            <color rgb="FF008000"/>
            <rFont val="Tahoma"/>
            <family val="2"/>
            <charset val="1"/>
          </rPr>
          <t xml:space="preserve">As it is an average mark of all the credit products entered under account performance measurment, this value shouldn't be more than 25 watever number of credit products are consumed by the customer.If it is reflected as </t>
        </r>
        <r>
          <rPr>
            <b val="true"/>
            <sz val="12"/>
            <color rgb="FFFF0000"/>
            <rFont val="Tahoma"/>
            <family val="2"/>
            <charset val="1"/>
          </rPr>
          <t xml:space="preserve">&gt;25</t>
        </r>
        <r>
          <rPr>
            <b val="true"/>
            <sz val="12"/>
            <color rgb="FF008000"/>
            <rFont val="Tahoma"/>
            <family val="2"/>
            <charset val="1"/>
          </rPr>
          <t xml:space="preserve">, correct the number you entered in </t>
        </r>
        <r>
          <rPr>
            <b val="true"/>
            <sz val="12"/>
            <color rgb="FFFF0000"/>
            <rFont val="Tahoma"/>
            <family val="2"/>
            <charset val="1"/>
          </rPr>
          <t xml:space="preserve">Cell  G-74.</t>
        </r>
      </text>
    </comment>
    <comment ref="E63" authorId="0">
      <text>
        <r>
          <rPr>
            <sz val="10"/>
            <rFont val="Arial"/>
            <family val="2"/>
          </rPr>
          <t xml:space="preserve">CBO Appraisal:
</t>
        </r>
        <r>
          <rPr>
            <b val="true"/>
            <sz val="10"/>
            <color rgb="FF000080"/>
            <rFont val="Tahoma"/>
            <family val="2"/>
            <charset val="1"/>
          </rPr>
          <t xml:space="preserve">Enter the number of existing plus previous credit products considered for account performance measurment( from 2.1 to 2.7). </t>
        </r>
        <r>
          <rPr>
            <b val="true"/>
            <sz val="14"/>
            <color rgb="FFFF00FF"/>
            <rFont val="Tahoma"/>
            <family val="2"/>
            <charset val="1"/>
          </rPr>
          <t xml:space="preserve">Do not enter Zero,</t>
        </r>
        <r>
          <rPr>
            <b val="true"/>
            <sz val="14"/>
            <color rgb="FF000080"/>
            <rFont val="Tahoma"/>
            <family val="2"/>
            <charset val="1"/>
          </rPr>
          <t xml:space="preserve"> </t>
        </r>
        <r>
          <rPr>
            <b val="true"/>
            <sz val="10"/>
            <color rgb="FF000080"/>
            <rFont val="Tahoma"/>
            <family val="2"/>
            <charset val="1"/>
          </rPr>
          <t xml:space="preserve">if you want to rate a customer who doesn't have credit facilities with the CBO but having  business establishment which has been  in operation for a year and above,you can enter </t>
        </r>
        <r>
          <rPr>
            <b val="true"/>
            <sz val="14"/>
            <color rgb="FFFF00FF"/>
            <rFont val="Tahoma"/>
            <family val="2"/>
            <charset val="1"/>
          </rPr>
          <t xml:space="preserve">0.01</t>
        </r>
        <r>
          <rPr>
            <b val="true"/>
            <sz val="10"/>
            <color rgb="FF000080"/>
            <rFont val="Tahoma"/>
            <family val="2"/>
            <charset val="1"/>
          </rPr>
          <t xml:space="preserve"> 
(1) </t>
        </r>
        <r>
          <rPr>
            <b val="true"/>
            <sz val="10"/>
            <color rgb="FF800000"/>
            <rFont val="Tahoma"/>
            <family val="2"/>
            <charset val="1"/>
          </rPr>
          <t xml:space="preserve">  if the customer has more than one similar type of products, count them as 'one' because interms of product type they are 'one'  
</t>
        </r>
        <r>
          <rPr>
            <b val="true"/>
            <sz val="10"/>
            <color rgb="FFFF00FF"/>
            <rFont val="Tahoma"/>
            <family val="2"/>
            <charset val="1"/>
          </rPr>
          <t xml:space="preserve">(2)</t>
        </r>
        <r>
          <rPr>
            <b val="true"/>
            <sz val="10"/>
            <color rgb="FF000080"/>
            <rFont val="Tahoma"/>
            <family val="2"/>
            <charset val="1"/>
          </rPr>
          <t xml:space="preserve">If an applicant has only one type of settled  or existing term loan at the time of grading ,write the number of credit produts here as</t>
        </r>
        <r>
          <rPr>
            <b val="true"/>
            <sz val="14"/>
            <color rgb="FFFF00FF"/>
            <rFont val="Tahoma"/>
            <family val="2"/>
            <charset val="1"/>
          </rPr>
          <t xml:space="preserve"> 0.4</t>
        </r>
        <r>
          <rPr>
            <b val="true"/>
            <sz val="10"/>
            <color rgb="FF000080"/>
            <rFont val="Tahoma"/>
            <family val="2"/>
            <charset val="1"/>
          </rPr>
          <t xml:space="preserve">  for settled and </t>
        </r>
        <r>
          <rPr>
            <b val="true"/>
            <sz val="14"/>
            <color rgb="FFFF00FF"/>
            <rFont val="Tahoma"/>
            <family val="2"/>
            <charset val="1"/>
          </rPr>
          <t xml:space="preserve">0.6</t>
        </r>
        <r>
          <rPr>
            <b val="true"/>
            <sz val="10"/>
            <color rgb="FF000080"/>
            <rFont val="Tahoma"/>
            <family val="2"/>
            <charset val="1"/>
          </rPr>
          <t xml:space="preserve"> for existing in order to convert the mark to </t>
        </r>
        <r>
          <rPr>
            <b val="true"/>
            <sz val="12"/>
            <color rgb="FFFF00FF"/>
            <rFont val="Tahoma"/>
            <family val="2"/>
            <charset val="1"/>
          </rPr>
          <t xml:space="preserve">25</t>
        </r>
        <r>
          <rPr>
            <b val="true"/>
            <sz val="10"/>
            <color rgb="FF000080"/>
            <rFont val="Tahoma"/>
            <family val="2"/>
            <charset val="1"/>
          </rPr>
          <t xml:space="preserve">. 
</t>
        </r>
        <r>
          <rPr>
            <b val="true"/>
            <sz val="10"/>
            <color rgb="FFFF00FF"/>
            <rFont val="Tahoma"/>
            <family val="2"/>
            <charset val="1"/>
          </rPr>
          <t xml:space="preserve">(3)</t>
        </r>
        <r>
          <rPr>
            <b val="true"/>
            <sz val="10"/>
            <color rgb="FF000080"/>
            <rFont val="Tahoma"/>
            <family val="2"/>
            <charset val="1"/>
          </rPr>
          <t xml:space="preserve"> If there are  settled  T/L and one other existing facility,enter </t>
        </r>
        <r>
          <rPr>
            <b val="true"/>
            <sz val="14"/>
            <color rgb="FFFF00FF"/>
            <rFont val="Tahoma"/>
            <family val="2"/>
            <charset val="1"/>
          </rPr>
          <t xml:space="preserve">1.4,</t>
        </r>
        <r>
          <rPr>
            <b val="true"/>
            <sz val="10"/>
            <color rgb="FF000080"/>
            <rFont val="Tahoma"/>
            <family val="2"/>
            <charset val="1"/>
          </rPr>
          <t xml:space="preserve"> if there are  only existing T/L and  one other type of facility ,enter 1.6.(4)</t>
        </r>
        <r>
          <rPr>
            <b val="true"/>
            <sz val="14"/>
            <color rgb="FFFF00FF"/>
            <rFont val="Tahoma"/>
            <family val="2"/>
            <charset val="1"/>
          </rPr>
          <t xml:space="preserve"> General rule</t>
        </r>
        <r>
          <rPr>
            <b val="true"/>
            <sz val="10"/>
            <color rgb="FF000080"/>
            <rFont val="Tahoma"/>
            <family val="2"/>
            <charset val="1"/>
          </rPr>
          <t xml:space="preserve">: </t>
        </r>
        <r>
          <rPr>
            <b val="true"/>
            <sz val="14"/>
            <color rgb="FF0000FF"/>
            <rFont val="Tahoma"/>
            <family val="2"/>
            <charset val="1"/>
          </rPr>
          <t xml:space="preserve">N=0.4+NOAF</t>
        </r>
        <r>
          <rPr>
            <b val="true"/>
            <sz val="10"/>
            <color rgb="FFFF0000"/>
            <rFont val="Tahoma"/>
            <family val="2"/>
            <charset val="1"/>
          </rPr>
          <t xml:space="preserve"> </t>
        </r>
        <r>
          <rPr>
            <b val="true"/>
            <sz val="10"/>
            <color rgb="FF000080"/>
            <rFont val="Tahoma"/>
            <family val="2"/>
            <charset val="1"/>
          </rPr>
          <t xml:space="preserve">for combination of</t>
        </r>
        <r>
          <rPr>
            <b val="true"/>
            <sz val="10"/>
            <color rgb="FFFF00FF"/>
            <rFont val="Tahoma"/>
            <family val="2"/>
            <charset val="1"/>
          </rPr>
          <t xml:space="preserve"> settled T/L</t>
        </r>
        <r>
          <rPr>
            <b val="true"/>
            <sz val="10"/>
            <color rgb="FF000080"/>
            <rFont val="Tahoma"/>
            <family val="2"/>
            <charset val="1"/>
          </rPr>
          <t xml:space="preserve">  with other facilities and</t>
        </r>
        <r>
          <rPr>
            <b val="true"/>
            <sz val="10"/>
            <color rgb="FFFF0000"/>
            <rFont val="Tahoma"/>
            <family val="2"/>
            <charset val="1"/>
          </rPr>
          <t xml:space="preserve"> </t>
        </r>
        <r>
          <rPr>
            <b val="true"/>
            <sz val="14"/>
            <color rgb="FF0000FF"/>
            <rFont val="Tahoma"/>
            <family val="2"/>
            <charset val="1"/>
          </rPr>
          <t xml:space="preserve">N=0.6+NOAF</t>
        </r>
        <r>
          <rPr>
            <b val="true"/>
            <sz val="10"/>
            <color rgb="FF000080"/>
            <rFont val="Tahoma"/>
            <family val="2"/>
            <charset val="1"/>
          </rPr>
          <t xml:space="preserve"> for combination of </t>
        </r>
        <r>
          <rPr>
            <b val="true"/>
            <sz val="10"/>
            <color rgb="FFFF00FF"/>
            <rFont val="Tahoma"/>
            <family val="2"/>
            <charset val="1"/>
          </rPr>
          <t xml:space="preserve">existing T/L</t>
        </r>
        <r>
          <rPr>
            <b val="true"/>
            <sz val="10"/>
            <color rgb="FF000080"/>
            <rFont val="Tahoma"/>
            <family val="2"/>
            <charset val="1"/>
          </rPr>
          <t xml:space="preserve"> with other facilities. where</t>
        </r>
        <r>
          <rPr>
            <b val="true"/>
            <sz val="14"/>
            <color rgb="FF003366"/>
            <rFont val="Tahoma"/>
            <family val="2"/>
            <charset val="1"/>
          </rPr>
          <t xml:space="preserve">, </t>
        </r>
        <r>
          <rPr>
            <b val="true"/>
            <sz val="14"/>
            <color rgb="FF0000FF"/>
            <rFont val="Tahoma"/>
            <family val="2"/>
            <charset val="1"/>
          </rPr>
          <t xml:space="preserve">N</t>
        </r>
        <r>
          <rPr>
            <b val="true"/>
            <sz val="10"/>
            <color rgb="FF000080"/>
            <rFont val="Tahoma"/>
            <family val="2"/>
            <charset val="1"/>
          </rPr>
          <t xml:space="preserve">=required Number, </t>
        </r>
        <r>
          <rPr>
            <b val="true"/>
            <sz val="14"/>
            <color rgb="FF0000FF"/>
            <rFont val="Tahoma"/>
            <family val="2"/>
            <charset val="1"/>
          </rPr>
          <t xml:space="preserve">NOAF</t>
        </r>
        <r>
          <rPr>
            <b val="true"/>
            <sz val="10"/>
            <color rgb="FF000080"/>
            <rFont val="Tahoma"/>
            <family val="2"/>
            <charset val="1"/>
          </rPr>
          <t xml:space="preserve">= Number of other facilities used for the account Performance Measurment.  </t>
        </r>
      </text>
    </comment>
  </commentList>
</comments>
</file>

<file path=xl/sharedStrings.xml><?xml version="1.0" encoding="utf-8"?>
<sst xmlns="http://schemas.openxmlformats.org/spreadsheetml/2006/main" count="647" uniqueCount="491">
  <si>
    <t xml:space="preserve">COOPERATIVE BANK OF OROMIA S.C</t>
  </si>
  <si>
    <t xml:space="preserve">CREDIT RISK GRADING FOLRM EXISTING CUSTOMER AND BUSINESS</t>
  </si>
  <si>
    <t xml:space="preserve">1. General Information </t>
  </si>
  <si>
    <t xml:space="preserve">a) Borrower's/Applicant's Name:</t>
  </si>
  <si>
    <t xml:space="preserve">XXX PLC</t>
  </si>
  <si>
    <t xml:space="preserve">MANUFACTURING</t>
  </si>
  <si>
    <t xml:space="preserve">Adopted grade by linked lending,if any, write below</t>
  </si>
  <si>
    <t xml:space="preserve">b) Group Name/Trade name,if any,</t>
  </si>
  <si>
    <t xml:space="preserve">c) Branch: </t>
  </si>
  <si>
    <t xml:space="preserve">XXXX</t>
  </si>
  <si>
    <t xml:space="preserve">d) Industry/Sector :</t>
  </si>
  <si>
    <t xml:space="preserve">DTS</t>
  </si>
  <si>
    <t xml:space="preserve">e) Customer's Classification: </t>
  </si>
  <si>
    <t xml:space="preserve">Business</t>
  </si>
  <si>
    <t xml:space="preserve">Business Line</t>
  </si>
  <si>
    <t xml:space="preserve">Manufacturing</t>
  </si>
  <si>
    <t xml:space="preserve">f) Current LAF No &amp; Date:</t>
  </si>
  <si>
    <t xml:space="preserve"> Loan Code</t>
  </si>
  <si>
    <r>
      <rPr>
        <b val="true"/>
        <sz val="10"/>
        <color rgb="FF333300"/>
        <rFont val="Century"/>
        <family val="1"/>
        <charset val="1"/>
      </rPr>
      <t xml:space="preserve">g)Existing CBO Credit Facilities:  </t>
    </r>
    <r>
      <rPr>
        <sz val="10"/>
        <color rgb="FF333300"/>
        <rFont val="Century"/>
        <family val="1"/>
        <charset val="1"/>
      </rPr>
      <t xml:space="preserve">                                                                             </t>
    </r>
  </si>
  <si>
    <t xml:space="preserve">Amount Approved</t>
  </si>
  <si>
    <t xml:space="preserve">Date Granted</t>
  </si>
  <si>
    <t xml:space="preserve">Balance as at 25/11/2022</t>
  </si>
  <si>
    <t xml:space="preserve">Due Date</t>
  </si>
  <si>
    <t xml:space="preserve">DTS </t>
  </si>
  <si>
    <t xml:space="preserve">28/03/2026</t>
  </si>
  <si>
    <t xml:space="preserve">Import overdraft</t>
  </si>
  <si>
    <t xml:space="preserve">26/11/2022</t>
  </si>
  <si>
    <t xml:space="preserve">Revolving merchandise</t>
  </si>
  <si>
    <t xml:space="preserve">Total</t>
  </si>
  <si>
    <t xml:space="preserve">h) Previous Risk Grade</t>
  </si>
  <si>
    <t xml:space="preserve">i) Current Risk Grade</t>
  </si>
  <si>
    <r>
      <rPr>
        <b val="true"/>
        <sz val="10"/>
        <color rgb="FF003300"/>
        <rFont val="Century"/>
        <family val="1"/>
        <charset val="1"/>
      </rPr>
      <t xml:space="preserve">2.Risk Factors :</t>
    </r>
    <r>
      <rPr>
        <sz val="10"/>
        <color rgb="FF003300"/>
        <rFont val="Century"/>
        <family val="1"/>
        <charset val="1"/>
      </rPr>
      <t xml:space="preserve"> </t>
    </r>
    <r>
      <rPr>
        <b val="true"/>
        <sz val="10"/>
        <color rgb="FF800000"/>
        <rFont val="Century"/>
        <family val="1"/>
        <charset val="1"/>
      </rPr>
      <t xml:space="preserve">Use  the major business if existing businesses are &gt;1, use the   average of the last recent full years data.</t>
    </r>
  </si>
  <si>
    <t xml:space="preserve">Maximum Achievable mark</t>
  </si>
  <si>
    <t xml:space="preserve">Customer's  Actual Status (Interms of figure  Word/Phrase)</t>
  </si>
  <si>
    <t xml:space="preserve">Achieved Score</t>
  </si>
  <si>
    <r>
      <rPr>
        <sz val="10"/>
        <color rgb="FF003300"/>
        <rFont val="Century"/>
        <family val="1"/>
        <charset val="1"/>
      </rPr>
      <t xml:space="preserve">2.1 Financial Risk : </t>
    </r>
    <r>
      <rPr>
        <b val="true"/>
        <i val="true"/>
        <sz val="10"/>
        <color rgb="FF800000"/>
        <rFont val="Century"/>
        <family val="1"/>
        <charset val="1"/>
      </rPr>
      <t xml:space="preserve">                                                                                                    </t>
    </r>
  </si>
  <si>
    <r>
      <rPr>
        <b val="true"/>
        <sz val="10"/>
        <color rgb="FF003300"/>
        <rFont val="Century"/>
        <family val="1"/>
        <charset val="1"/>
      </rPr>
      <t xml:space="preserve">A) Leverage=</t>
    </r>
    <r>
      <rPr>
        <b val="true"/>
        <sz val="10"/>
        <color rgb="FF800000"/>
        <rFont val="Century"/>
        <family val="1"/>
        <charset val="1"/>
      </rPr>
      <t xml:space="preserve">(Total Liability/Tangible Net Worth</t>
    </r>
    <r>
      <rPr>
        <b val="true"/>
        <sz val="10"/>
        <color rgb="FFFF0000"/>
        <rFont val="Century"/>
        <family val="1"/>
        <charset val="1"/>
      </rPr>
      <t xml:space="preserve"> </t>
    </r>
    <r>
      <rPr>
        <b val="true"/>
        <sz val="10"/>
        <color rgb="FF003300"/>
        <rFont val="Century"/>
        <family val="1"/>
        <charset val="1"/>
      </rPr>
      <t xml:space="preserve">                                                                                                </t>
    </r>
  </si>
  <si>
    <r>
      <rPr>
        <sz val="10"/>
        <color rgb="FF003300"/>
        <rFont val="Century"/>
        <family val="1"/>
        <charset val="1"/>
      </rPr>
      <t xml:space="preserve">B) Liquidity=</t>
    </r>
    <r>
      <rPr>
        <b val="true"/>
        <sz val="10"/>
        <color rgb="FF003300"/>
        <rFont val="Century"/>
        <family val="1"/>
        <charset val="1"/>
      </rPr>
      <t xml:space="preserve"> </t>
    </r>
    <r>
      <rPr>
        <b val="true"/>
        <sz val="10"/>
        <color rgb="FF800000"/>
        <rFont val="Century"/>
        <family val="1"/>
        <charset val="1"/>
      </rPr>
      <t xml:space="preserve">(CA/CL)</t>
    </r>
    <r>
      <rPr>
        <b val="true"/>
        <sz val="10"/>
        <color rgb="FF339966"/>
        <rFont val="Century"/>
        <family val="1"/>
        <charset val="1"/>
      </rPr>
      <t xml:space="preserve"> </t>
    </r>
    <r>
      <rPr>
        <b val="true"/>
        <sz val="10"/>
        <color rgb="FFFF00FF"/>
        <rFont val="Century"/>
        <family val="1"/>
        <charset val="1"/>
      </rPr>
      <t xml:space="preserve"> </t>
    </r>
    <r>
      <rPr>
        <b val="true"/>
        <sz val="10"/>
        <color rgb="FF003300"/>
        <rFont val="Century"/>
        <family val="1"/>
        <charset val="1"/>
      </rPr>
      <t xml:space="preserve">                                                                                                  </t>
    </r>
  </si>
  <si>
    <r>
      <rPr>
        <sz val="10"/>
        <color rgb="FF003300"/>
        <rFont val="Century"/>
        <family val="1"/>
        <charset val="1"/>
      </rPr>
      <t xml:space="preserve">C)Profitability</t>
    </r>
    <r>
      <rPr>
        <b val="true"/>
        <sz val="10"/>
        <color rgb="FF800000"/>
        <rFont val="Century"/>
        <family val="1"/>
        <charset val="1"/>
      </rPr>
      <t xml:space="preserve">= (OP/Sales x 100</t>
    </r>
    <r>
      <rPr>
        <b val="true"/>
        <sz val="10"/>
        <color rgb="FF003300"/>
        <rFont val="Century"/>
        <family val="1"/>
        <charset val="1"/>
      </rPr>
      <t xml:space="preserve">                                                                                                   </t>
    </r>
  </si>
  <si>
    <r>
      <rPr>
        <sz val="10"/>
        <color rgb="FF003300"/>
        <rFont val="Century"/>
        <family val="1"/>
        <charset val="1"/>
      </rPr>
      <t xml:space="preserve">D)Debt Service  Coverage: </t>
    </r>
    <r>
      <rPr>
        <b val="true"/>
        <sz val="10"/>
        <color rgb="FF800000"/>
        <rFont val="Century"/>
        <family val="1"/>
        <charset val="1"/>
      </rPr>
      <t xml:space="preserve">(Profit before  interest &amp; tax / Interest Exp)                                                                                      </t>
    </r>
  </si>
  <si>
    <r>
      <rPr>
        <sz val="10"/>
        <color rgb="FF003300"/>
        <rFont val="Century"/>
        <family val="1"/>
        <charset val="1"/>
      </rPr>
      <t xml:space="preserve">E)Qualityof Financial Statements:                    </t>
    </r>
    <r>
      <rPr>
        <b val="true"/>
        <sz val="10"/>
        <color rgb="FF003300"/>
        <rFont val="Century"/>
        <family val="1"/>
        <charset val="1"/>
      </rPr>
      <t xml:space="preserve">  </t>
    </r>
    <r>
      <rPr>
        <b val="true"/>
        <sz val="10"/>
        <color rgb="FFFFFFFF"/>
        <rFont val="Century"/>
        <family val="1"/>
        <charset val="1"/>
      </rPr>
      <t xml:space="preserve">…..</t>
    </r>
    <r>
      <rPr>
        <b val="true"/>
        <sz val="10"/>
        <color rgb="FF003300"/>
        <rFont val="Century"/>
        <family val="1"/>
        <charset val="1"/>
      </rPr>
      <t xml:space="preserve">                                                                 </t>
    </r>
  </si>
  <si>
    <t xml:space="preserve">All Sectors &gt;=Br. 1 Million Exposure</t>
  </si>
  <si>
    <t xml:space="preserve">EX</t>
  </si>
  <si>
    <t xml:space="preserve">All Sectors Below Br.1 Million Exposure</t>
  </si>
  <si>
    <r>
      <rPr>
        <b val="true"/>
        <sz val="10"/>
        <color rgb="FF003300"/>
        <rFont val="Century"/>
        <family val="1"/>
        <charset val="1"/>
      </rPr>
      <t xml:space="preserve">Descrepancies:</t>
    </r>
    <r>
      <rPr>
        <b val="true"/>
        <sz val="10"/>
        <color rgb="FFFF0000"/>
        <rFont val="Century"/>
        <family val="1"/>
        <charset val="1"/>
      </rPr>
      <t xml:space="preserve">(Mj or Mn)</t>
    </r>
  </si>
  <si>
    <t xml:space="preserve">NA</t>
  </si>
  <si>
    <t xml:space="preserve">Is the last  F.Statement CCR ?</t>
  </si>
  <si>
    <t xml:space="preserve">YES</t>
  </si>
  <si>
    <t xml:space="preserve"> 3. Business/Industry Risk:                                                                </t>
  </si>
  <si>
    <r>
      <rPr>
        <b val="true"/>
        <sz val="10"/>
        <color rgb="FF003300"/>
        <rFont val="Century"/>
        <family val="1"/>
        <charset val="1"/>
      </rPr>
      <t xml:space="preserve">a) Business outlook(Cyclicality) &amp; Growth </t>
    </r>
    <r>
      <rPr>
        <b val="true"/>
        <sz val="10"/>
        <color rgb="FF800000"/>
        <rFont val="Century"/>
        <family val="1"/>
        <charset val="1"/>
      </rPr>
      <t xml:space="preserve"> </t>
    </r>
    <r>
      <rPr>
        <b val="true"/>
        <sz val="10"/>
        <color rgb="FF003300"/>
        <rFont val="Century"/>
        <family val="1"/>
        <charset val="1"/>
      </rPr>
      <t xml:space="preserve">                                                           </t>
    </r>
  </si>
  <si>
    <t xml:space="preserve">STABLE</t>
  </si>
  <si>
    <t xml:space="preserve">b) Market competition/Market share                                                                        </t>
  </si>
  <si>
    <t xml:space="preserve">AVERAGE</t>
  </si>
  <si>
    <t xml:space="preserve">4. Management Risk                                                                  </t>
  </si>
  <si>
    <t xml:space="preserve">a) Experience in Related Line of Business                                                                        </t>
  </si>
  <si>
    <t xml:space="preserve">b) Qualification                                                                                                                      </t>
  </si>
  <si>
    <t xml:space="preserve">GD</t>
  </si>
  <si>
    <t xml:space="preserve">c) Sucession Plan                                                                                              </t>
  </si>
  <si>
    <t xml:space="preserve">NO</t>
  </si>
  <si>
    <r>
      <rPr>
        <sz val="10"/>
        <color rgb="FF003300"/>
        <rFont val="Century"/>
        <family val="1"/>
        <charset val="1"/>
      </rPr>
      <t xml:space="preserve">5.Account  Performance  Average Score</t>
    </r>
    <r>
      <rPr>
        <b val="true"/>
        <sz val="10"/>
        <color rgb="FF003300"/>
        <rFont val="Century"/>
        <family val="1"/>
        <charset val="1"/>
      </rPr>
      <t xml:space="preserve">                        </t>
    </r>
  </si>
  <si>
    <t xml:space="preserve">5.1) Overdraft</t>
  </si>
  <si>
    <t xml:space="preserve">i) Highest Debit  </t>
  </si>
  <si>
    <t xml:space="preserve">ii) Lowest balance  </t>
  </si>
  <si>
    <t xml:space="preserve">iii) Turnover  </t>
  </si>
  <si>
    <t xml:space="preserve">5.2)Term Loan</t>
  </si>
  <si>
    <t xml:space="preserve">i) Current Loan Repayment status </t>
  </si>
  <si>
    <t xml:space="preserve">ii) Settled Loans </t>
  </si>
  <si>
    <t xml:space="preserve">VG</t>
  </si>
  <si>
    <t xml:space="preserve">5.3) L/C  Facility</t>
  </si>
  <si>
    <t xml:space="preserve">Average Settlement  date</t>
  </si>
  <si>
    <t xml:space="preserve">Turnover/Utelization</t>
  </si>
  <si>
    <r>
      <rPr>
        <sz val="10"/>
        <color rgb="FF003300"/>
        <rFont val="Century"/>
        <family val="1"/>
        <charset val="1"/>
      </rPr>
      <t xml:space="preserve">5.4-a)Merchandise Loan-</t>
    </r>
    <r>
      <rPr>
        <b val="true"/>
        <sz val="10"/>
        <color rgb="FFFF00FF"/>
        <rFont val="Century"/>
        <family val="1"/>
        <charset val="1"/>
      </rPr>
      <t xml:space="preserve">OTHER</t>
    </r>
  </si>
  <si>
    <t xml:space="preserve">Turnover/Utilization</t>
  </si>
  <si>
    <t xml:space="preserve">WK</t>
  </si>
  <si>
    <r>
      <rPr>
        <sz val="10"/>
        <color rgb="FF003300"/>
        <rFont val="Century"/>
        <family val="1"/>
        <charset val="1"/>
      </rPr>
      <t xml:space="preserve">5.4-b)Merchandise Loan- </t>
    </r>
    <r>
      <rPr>
        <b val="true"/>
        <sz val="10"/>
        <color rgb="FFFF00FF"/>
        <rFont val="Century"/>
        <family val="1"/>
        <charset val="1"/>
      </rPr>
      <t xml:space="preserve">GRAIN</t>
    </r>
  </si>
  <si>
    <t xml:space="preserve">5.5)Pre-Shippment Export Credit</t>
  </si>
  <si>
    <t xml:space="preserve">  Turnover    </t>
  </si>
  <si>
    <t xml:space="preserve">5.6) Revoloving Export Credit</t>
  </si>
  <si>
    <t xml:space="preserve">Turnover    </t>
  </si>
  <si>
    <t xml:space="preserve">5.7) Settled Letter of Guarantees</t>
  </si>
  <si>
    <t xml:space="preserve">Settlment Condition</t>
  </si>
  <si>
    <t xml:space="preserve">AC</t>
  </si>
  <si>
    <t xml:space="preserve">5.8) Negative Values </t>
  </si>
  <si>
    <t xml:space="preserve">For all settled loans except L/G</t>
  </si>
  <si>
    <t xml:space="preserve">SS</t>
  </si>
  <si>
    <t xml:space="preserve">5.9) Total Rated Facilities from 5.1-5.7 Minimum 0.4,maximum 8)</t>
  </si>
  <si>
    <r>
      <rPr>
        <sz val="10"/>
        <color rgb="FF003300"/>
        <rFont val="Century"/>
        <family val="1"/>
        <charset val="1"/>
      </rPr>
      <t xml:space="preserve">6.Relationship with the CBO:  </t>
    </r>
    <r>
      <rPr>
        <b val="true"/>
        <sz val="10"/>
        <color rgb="FF003300"/>
        <rFont val="Century"/>
        <family val="1"/>
        <charset val="1"/>
      </rPr>
      <t xml:space="preserve">                                                                                            </t>
    </r>
  </si>
  <si>
    <t xml:space="preserve">Length of Borrowing Relationship                                                                                </t>
  </si>
  <si>
    <r>
      <rPr>
        <b val="true"/>
        <sz val="10"/>
        <color rgb="FF003300"/>
        <rFont val="Century"/>
        <family val="1"/>
        <charset val="1"/>
      </rPr>
      <t xml:space="preserve">Integrity and Honesty       </t>
    </r>
    <r>
      <rPr>
        <b val="true"/>
        <sz val="10"/>
        <color rgb="FF800000"/>
        <rFont val="Century"/>
        <family val="1"/>
        <charset val="1"/>
      </rPr>
      <t xml:space="preserve"> </t>
    </r>
    <r>
      <rPr>
        <b val="true"/>
        <sz val="10"/>
        <color rgb="FF003300"/>
        <rFont val="Century"/>
        <family val="1"/>
        <charset val="1"/>
      </rPr>
      <t xml:space="preserve">                                                                                            </t>
    </r>
  </si>
  <si>
    <t xml:space="preserve">MEDIUM</t>
  </si>
  <si>
    <t xml:space="preserve">Existence of Credit Relationship With other Banks                                                                     </t>
  </si>
  <si>
    <t xml:space="preserve">Total  Score (2.1+3+4+5+6+…)                                                           </t>
  </si>
  <si>
    <t xml:space="preserve">Current Risk Grade </t>
  </si>
  <si>
    <t xml:space="preserve">Risk Level</t>
  </si>
  <si>
    <t xml:space="preserve">Risk Implication</t>
  </si>
  <si>
    <t xml:space="preserve">3. General Remarks  of the rater on the overall performance of the borrower and Business</t>
  </si>
  <si>
    <t xml:space="preserve">Your Curent Recommendation(Indicate only type &amp; amount)</t>
  </si>
  <si>
    <t xml:space="preserve">Renewal of the existing facilities.</t>
  </si>
  <si>
    <t xml:space="preserve">4. Rater's Name:</t>
  </si>
  <si>
    <t xml:space="preserve">Title</t>
  </si>
  <si>
    <t xml:space="preserve">Date</t>
  </si>
  <si>
    <t xml:space="preserve">Signature</t>
  </si>
  <si>
    <t xml:space="preserve">CA</t>
  </si>
  <si>
    <t xml:space="preserve">Approver's Name</t>
  </si>
  <si>
    <t xml:space="preserve">Risk Aspects</t>
  </si>
  <si>
    <t xml:space="preserve">Sector</t>
  </si>
  <si>
    <t xml:space="preserve">Source of Data</t>
  </si>
  <si>
    <t xml:space="preserve">Responsible Organ to provide data</t>
  </si>
  <si>
    <t xml:space="preserve">Manufacturing  </t>
  </si>
  <si>
    <t xml:space="preserve">Agriculture</t>
  </si>
  <si>
    <t xml:space="preserve">Import &amp; DTS</t>
  </si>
  <si>
    <t xml:space="preserve">Export</t>
  </si>
  <si>
    <t xml:space="preserve">Construction &amp; Machinery</t>
  </si>
  <si>
    <t xml:space="preserve">Score</t>
  </si>
  <si>
    <t xml:space="preserve">Financial Position (40%)</t>
  </si>
  <si>
    <t xml:space="preserve">Customer</t>
  </si>
  <si>
    <t xml:space="preserve">Leverage (Total liability to total asset) 6%</t>
  </si>
  <si>
    <t xml:space="preserve">≤50%</t>
  </si>
  <si>
    <t xml:space="preserve">≤60%</t>
  </si>
  <si>
    <t xml:space="preserve">≤70%</t>
  </si>
  <si>
    <t xml:space="preserve">Financial Statements</t>
  </si>
  <si>
    <t xml:space="preserve">70%-50%</t>
  </si>
  <si>
    <t xml:space="preserve">70%-60%</t>
  </si>
  <si>
    <t xml:space="preserve">85%-70%</t>
  </si>
  <si>
    <t xml:space="preserve">90%-70%</t>
  </si>
  <si>
    <t xml:space="preserve">90% -70%</t>
  </si>
  <si>
    <t xml:space="preserve">95%-85%</t>
  </si>
  <si>
    <t xml:space="preserve">&gt;90%</t>
  </si>
  <si>
    <t xml:space="preserve">&gt;95%</t>
  </si>
  <si>
    <t xml:space="preserve">Liquidity (Current Ratio = CA/CL) 5%</t>
  </si>
  <si>
    <t xml:space="preserve">&gt; 2</t>
  </si>
  <si>
    <t xml:space="preserve">&gt;2</t>
  </si>
  <si>
    <t xml:space="preserve">&gt; 1.5</t>
  </si>
  <si>
    <t xml:space="preserve">&gt; 1.25</t>
  </si>
  <si>
    <t xml:space="preserve">1.5 - 2.0</t>
  </si>
  <si>
    <t xml:space="preserve">1.5 - 2</t>
  </si>
  <si>
    <t xml:space="preserve">1.0 - 1.5</t>
  </si>
  <si>
    <t xml:space="preserve">1.0- 1.25</t>
  </si>
  <si>
    <t xml:space="preserve">1.5 -2</t>
  </si>
  <si>
    <t xml:space="preserve">1-1.5</t>
  </si>
  <si>
    <t xml:space="preserve">1.25 - 1.5</t>
  </si>
  <si>
    <t xml:space="preserve">0.75 - 1.5</t>
  </si>
  <si>
    <t xml:space="preserve">0.75 -1.0</t>
  </si>
  <si>
    <t xml:space="preserve">0.5-1</t>
  </si>
  <si>
    <t xml:space="preserve">0.75-1.25</t>
  </si>
  <si>
    <t xml:space="preserve">0.5 - 0.75</t>
  </si>
  <si>
    <t xml:space="preserve">0.5- 0.75</t>
  </si>
  <si>
    <t xml:space="preserve">0.5 – 1.0</t>
  </si>
  <si>
    <t xml:space="preserve">&lt; 0.5</t>
  </si>
  <si>
    <t xml:space="preserve">&lt; 0.75</t>
  </si>
  <si>
    <t xml:space="preserve">Profitability</t>
  </si>
  <si>
    <t xml:space="preserve">Return on Asset =Net Income after tax /Total asset) 3%</t>
  </si>
  <si>
    <t xml:space="preserve">≥10%</t>
  </si>
  <si>
    <t xml:space="preserve">≥15%</t>
  </si>
  <si>
    <t xml:space="preserve">≥ 15%</t>
  </si>
  <si>
    <t xml:space="preserve">≥ 19%</t>
  </si>
  <si>
    <t xml:space="preserve">8% -10%</t>
  </si>
  <si>
    <t xml:space="preserve">10%-15%</t>
  </si>
  <si>
    <t xml:space="preserve">10%- 15%</t>
  </si>
  <si>
    <t xml:space="preserve">16% -19%</t>
  </si>
  <si>
    <t xml:space="preserve">6%-8%</t>
  </si>
  <si>
    <t xml:space="preserve">7% -10%</t>
  </si>
  <si>
    <t xml:space="preserve">11% -16%</t>
  </si>
  <si>
    <t xml:space="preserve">3%-6%</t>
  </si>
  <si>
    <t xml:space="preserve">3%-7%</t>
  </si>
  <si>
    <t xml:space="preserve">4%-8%</t>
  </si>
  <si>
    <t xml:space="preserve">6% - 11%</t>
  </si>
  <si>
    <t xml:space="preserve">1%- 3%</t>
  </si>
  <si>
    <t xml:space="preserve">1%- 4%</t>
  </si>
  <si>
    <t xml:space="preserve">1%-  4%</t>
  </si>
  <si>
    <t xml:space="preserve">1%-  6%</t>
  </si>
  <si>
    <t xml:space="preserve">&lt; 1%</t>
  </si>
  <si>
    <t xml:space="preserve">&lt;1%</t>
  </si>
  <si>
    <t xml:space="preserve">Operating profit Margin(Operating profit/Total Sales) 5%</t>
  </si>
  <si>
    <t xml:space="preserve">≥20%</t>
  </si>
  <si>
    <t xml:space="preserve">≥22%</t>
  </si>
  <si>
    <t xml:space="preserve">≥ 23%</t>
  </si>
  <si>
    <t xml:space="preserve">≥ 20%</t>
  </si>
  <si>
    <t xml:space="preserve">15% - 20%</t>
  </si>
  <si>
    <t xml:space="preserve">16%-22%</t>
  </si>
  <si>
    <t xml:space="preserve">15% -20%</t>
  </si>
  <si>
    <t xml:space="preserve">10% -15%</t>
  </si>
  <si>
    <t xml:space="preserve">11%-16%</t>
  </si>
  <si>
    <t xml:space="preserve">5% -10%</t>
  </si>
  <si>
    <t xml:space="preserve">6% -11%</t>
  </si>
  <si>
    <t xml:space="preserve">&lt; 5%</t>
  </si>
  <si>
    <t xml:space="preserve">&lt; 6%</t>
  </si>
  <si>
    <t xml:space="preserve">Debt Service Coverage Ratio (Net income after tax/Interest expenses) 3%</t>
  </si>
  <si>
    <t xml:space="preserve">&gt; 2.5</t>
  </si>
  <si>
    <t xml:space="preserve">&gt; 3</t>
  </si>
  <si>
    <t xml:space="preserve">2-2.5</t>
  </si>
  <si>
    <t xml:space="preserve">1.5 - 2.5</t>
  </si>
  <si>
    <t xml:space="preserve">.2-3</t>
  </si>
  <si>
    <t xml:space="preserve">1.5-2</t>
  </si>
  <si>
    <t xml:space="preserve">.1-2</t>
  </si>
  <si>
    <t xml:space="preserve">1 -1.5</t>
  </si>
  <si>
    <t xml:space="preserve">0.5 -1</t>
  </si>
  <si>
    <t xml:space="preserve">&lt; 1</t>
  </si>
  <si>
    <t xml:space="preserve">Inventory Turnover Ratio (CGS/Average Inventory) 4%</t>
  </si>
  <si>
    <t xml:space="preserve">&gt;12</t>
  </si>
  <si>
    <t xml:space="preserve">&gt;3</t>
  </si>
  <si>
    <t xml:space="preserve">&gt;8</t>
  </si>
  <si>
    <t xml:space="preserve">&gt;4</t>
  </si>
  <si>
    <t xml:space="preserve">&gt;10</t>
  </si>
  <si>
    <t xml:space="preserve">8-12</t>
  </si>
  <si>
    <t xml:space="preserve">2-3</t>
  </si>
  <si>
    <t xml:space="preserve">4-8</t>
  </si>
  <si>
    <t xml:space="preserve">2-4</t>
  </si>
  <si>
    <t xml:space="preserve">7-10</t>
  </si>
  <si>
    <t xml:space="preserve">1-2</t>
  </si>
  <si>
    <t xml:space="preserve">3-7</t>
  </si>
  <si>
    <t xml:space="preserve">&lt;4</t>
  </si>
  <si>
    <t xml:space="preserve">&lt;1</t>
  </si>
  <si>
    <t xml:space="preserve">&lt;2</t>
  </si>
  <si>
    <t xml:space="preserve">&lt;3</t>
  </si>
  <si>
    <t xml:space="preserve">Return on Equity (Net Income / Equity) 4%</t>
  </si>
  <si>
    <t xml:space="preserve">&gt;15%</t>
  </si>
  <si>
    <t xml:space="preserve">12%-15%</t>
  </si>
  <si>
    <t xml:space="preserve">10%-12%</t>
  </si>
  <si>
    <t xml:space="preserve">5%-10%</t>
  </si>
  <si>
    <t xml:space="preserve">&lt;5%</t>
  </si>
  <si>
    <t xml:space="preserve">Quality of Financial Statement 5%</t>
  </si>
  <si>
    <t xml:space="preserve">All Audited up to date</t>
  </si>
  <si>
    <t xml:space="preserve">All Audited and one year provisional statements</t>
  </si>
  <si>
    <t xml:space="preserve">Audited and two year provisional statements</t>
  </si>
  <si>
    <t xml:space="preserve">All provisional statements</t>
  </si>
  <si>
    <t xml:space="preserve">Commercial Credit Report</t>
  </si>
  <si>
    <t xml:space="preserve">Negative Values</t>
  </si>
  <si>
    <t xml:space="preserve">Minor discrepancy</t>
  </si>
  <si>
    <t xml:space="preserve">Major discrepancy</t>
  </si>
  <si>
    <t xml:space="preserve">Total Equity/Total Asset (5%)</t>
  </si>
  <si>
    <t xml:space="preserve">X ≥50%</t>
  </si>
  <si>
    <t xml:space="preserve">40%- 50%</t>
  </si>
  <si>
    <t xml:space="preserve">35%-40%</t>
  </si>
  <si>
    <t xml:space="preserve">30%-35%</t>
  </si>
  <si>
    <t xml:space="preserve">&lt;30%</t>
  </si>
  <si>
    <t xml:space="preserve">Industry attractiveness </t>
  </si>
  <si>
    <t xml:space="preserve">Measurement</t>
  </si>
  <si>
    <t xml:space="preserve">Parameters</t>
  </si>
  <si>
    <t xml:space="preserve">Responsible Organ</t>
  </si>
  <si>
    <t xml:space="preserve">Business/Industry and form of organization Risk (10%)</t>
  </si>
  <si>
    <t xml:space="preserve">Business/Industry outlook of the customer</t>
  </si>
  <si>
    <t xml:space="preserve">Favorable</t>
  </si>
  <si>
    <t xml:space="preserve">Credit Appraisal Assessment</t>
  </si>
  <si>
    <t xml:space="preserve">Credit Analysts</t>
  </si>
  <si>
    <t xml:space="preserve">Stable</t>
  </si>
  <si>
    <t xml:space="preserve">Unstable</t>
  </si>
  <si>
    <t xml:space="preserve">Market competition/market</t>
  </si>
  <si>
    <t xml:space="preserve">Dominant player</t>
  </si>
  <si>
    <t xml:space="preserve">Acceptable</t>
  </si>
  <si>
    <t xml:space="preserve">Weak Player</t>
  </si>
  <si>
    <t xml:space="preserve">Form of Organization</t>
  </si>
  <si>
    <t xml:space="preserve">Cooperatives</t>
  </si>
  <si>
    <t xml:space="preserve">Share Company</t>
  </si>
  <si>
    <t xml:space="preserve">Private limited company</t>
  </si>
  <si>
    <t xml:space="preserve">Sole proprietorship</t>
  </si>
  <si>
    <t xml:space="preserve">S/N</t>
  </si>
  <si>
    <t xml:space="preserve">Credit History 25%</t>
  </si>
  <si>
    <t xml:space="preserve">Overdraft Facility (21%)</t>
  </si>
  <si>
    <t xml:space="preserve">Swing</t>
  </si>
  <si>
    <t xml:space="preserve">Loan statements</t>
  </si>
  <si>
    <t xml:space="preserve">Highest debit 6%</t>
  </si>
  <si>
    <t xml:space="preserve">≥ 85%/ year</t>
  </si>
  <si>
    <t xml:space="preserve">60% - 84.9%/ year</t>
  </si>
  <si>
    <t xml:space="preserve">&lt; 60%/year</t>
  </si>
  <si>
    <t xml:space="preserve">requirest claificcation </t>
  </si>
  <si>
    <t xml:space="preserve">Lowest debit 7%</t>
  </si>
  <si>
    <t xml:space="preserve">At least credit balance within three months </t>
  </si>
  <si>
    <t xml:space="preserve">At least a credit balance within six months </t>
  </si>
  <si>
    <t xml:space="preserve">At least a credit balance within a year</t>
  </si>
  <si>
    <t xml:space="preserve">At least 4% debit balance within a year</t>
  </si>
  <si>
    <t xml:space="preserve">Greater than 4% debit balance within a year</t>
  </si>
  <si>
    <t xml:space="preserve">Turnover 8%</t>
  </si>
  <si>
    <t xml:space="preserve">X &gt;= 4 times of the limit</t>
  </si>
  <si>
    <t xml:space="preserve">2.5≤X&lt;4</t>
  </si>
  <si>
    <t xml:space="preserve">1≤X&lt;2.5</t>
  </si>
  <si>
    <t xml:space="preserve">X &lt; 1</t>
  </si>
  <si>
    <t xml:space="preserve">T/Loan Performance (21%)</t>
  </si>
  <si>
    <t xml:space="preserve">CIC</t>
  </si>
  <si>
    <t xml:space="preserve">CIC Team</t>
  </si>
  <si>
    <t xml:space="preserve">Existing loan repayment 13%</t>
  </si>
  <si>
    <t xml:space="preserve">Regular repayment</t>
  </si>
  <si>
    <t xml:space="preserve">1 - 30 days in arrears</t>
  </si>
  <si>
    <t xml:space="preserve">31-90 days in arrears</t>
  </si>
  <si>
    <t xml:space="preserve">More than 90 days in arrears</t>
  </si>
  <si>
    <r>
      <rPr>
        <b val="true"/>
        <sz val="12"/>
        <color theme="1"/>
        <rFont val="Arial"/>
        <family val="2"/>
        <charset val="1"/>
      </rPr>
      <t xml:space="preserve">Settled loans 8</t>
    </r>
    <r>
      <rPr>
        <sz val="12"/>
        <color theme="1"/>
        <rFont val="Arial"/>
        <family val="2"/>
        <charset val="1"/>
      </rPr>
      <t xml:space="preserve">%</t>
    </r>
  </si>
  <si>
    <t xml:space="preserve">Settled with regular repayment</t>
  </si>
  <si>
    <t xml:space="preserve">calcification/CBS team</t>
  </si>
  <si>
    <t xml:space="preserve">Settled timely but with an element of irregularity</t>
  </si>
  <si>
    <t xml:space="preserve">Settled before sixty days after due date </t>
  </si>
  <si>
    <t xml:space="preserve">Settled after 60 days but less than ninety days</t>
  </si>
  <si>
    <t xml:space="preserve">Settled  after  being NPL and/  or  through foreclosure, legal action</t>
  </si>
  <si>
    <t xml:space="preserve">L/C Facility (21%)</t>
  </si>
  <si>
    <t xml:space="preserve">Average settlement of import L/C facility (21%)</t>
  </si>
  <si>
    <t xml:space="preserve">Settled within a month</t>
  </si>
  <si>
    <t xml:space="preserve">Can be generated from CBS</t>
  </si>
  <si>
    <t xml:space="preserve">Settled within two months</t>
  </si>
  <si>
    <t xml:space="preserve">calcification/CBS team, credit team, trade service</t>
  </si>
  <si>
    <t xml:space="preserve">Settled within three months</t>
  </si>
  <si>
    <t xml:space="preserve">Settled after three months</t>
  </si>
  <si>
    <t xml:space="preserve">Merchandise Loan Limit - 21%</t>
  </si>
  <si>
    <t xml:space="preserve">Settlement of Merchandise Loan 13%</t>
  </si>
  <si>
    <t xml:space="preserve">Settled all advances within due date</t>
  </si>
  <si>
    <t xml:space="preserve">Settled within 30 days from the due date</t>
  </si>
  <si>
    <t xml:space="preserve">Settled within 45 days from the due date,</t>
  </si>
  <si>
    <t xml:space="preserve">Settled after 45 days from the due date</t>
  </si>
  <si>
    <t xml:space="preserve">Turn-over (8%)</t>
  </si>
  <si>
    <t xml:space="preserve">  &gt;3 times </t>
  </si>
  <si>
    <t xml:space="preserve">  2-3 times</t>
  </si>
  <si>
    <t xml:space="preserve">  1.25- 1.9 times</t>
  </si>
  <si>
    <t xml:space="preserve">  0.5-1.24 times</t>
  </si>
  <si>
    <t xml:space="preserve">  &lt;0.5 times</t>
  </si>
  <si>
    <t xml:space="preserve">Pre-shipment Export Credit (21%)</t>
  </si>
  <si>
    <t xml:space="preserve">Average settlement from the date of advance in FCY (8%)</t>
  </si>
  <si>
    <t xml:space="preserve"> &lt;90 days </t>
  </si>
  <si>
    <t xml:space="preserve"> &lt;1 20 days </t>
  </si>
  <si>
    <t xml:space="preserve"> &lt;150 days </t>
  </si>
  <si>
    <t xml:space="preserve"> &gt;150 Days</t>
  </si>
  <si>
    <t xml:space="preserve">Turn over (13%)</t>
  </si>
  <si>
    <r>
      <rPr>
        <u val="single"/>
        <sz val="12"/>
        <color theme="1"/>
        <rFont val="Arial"/>
        <family val="2"/>
        <charset val="1"/>
      </rPr>
      <t xml:space="preserve">&gt;</t>
    </r>
    <r>
      <rPr>
        <sz val="12"/>
        <color theme="1"/>
        <rFont val="Arial"/>
        <family val="2"/>
        <charset val="1"/>
      </rPr>
      <t xml:space="preserve"> 2.5 times</t>
    </r>
  </si>
  <si>
    <t xml:space="preserve">2 - 2.49</t>
  </si>
  <si>
    <t xml:space="preserve">1.5 -1.99</t>
  </si>
  <si>
    <t xml:space="preserve">1.25 – 1.49</t>
  </si>
  <si>
    <t xml:space="preserve">1 – 1.24</t>
  </si>
  <si>
    <t xml:space="preserve">Post Export Credit facility (21%)</t>
  </si>
  <si>
    <t xml:space="preserve">Average settlement (13%)</t>
  </si>
  <si>
    <t xml:space="preserve">Settled within two weeks</t>
  </si>
  <si>
    <t xml:space="preserve">Settled within three weeks</t>
  </si>
  <si>
    <t xml:space="preserve">Settled after a month</t>
  </si>
  <si>
    <t xml:space="preserve">Turnover (8%)</t>
  </si>
  <si>
    <t xml:space="preserve">&gt; 2 times</t>
  </si>
  <si>
    <t xml:space="preserve">1 - 1.5</t>
  </si>
  <si>
    <t xml:space="preserve">Guarantee Facility (21%)</t>
  </si>
  <si>
    <t xml:space="preserve">Settlement of Guarantee</t>
  </si>
  <si>
    <t xml:space="preserve">Settled without claim</t>
  </si>
  <si>
    <t xml:space="preserve">DDR</t>
  </si>
  <si>
    <t xml:space="preserve">CRM </t>
  </si>
  <si>
    <t xml:space="preserve">Claimed but settled by customer</t>
  </si>
  <si>
    <t xml:space="preserve">Claimed and paid by the bank</t>
  </si>
  <si>
    <t xml:space="preserve">Credit Exposure (4%)</t>
  </si>
  <si>
    <t xml:space="preserve">Aggregate Credit Exposure (4%)</t>
  </si>
  <si>
    <t xml:space="preserve">&gt;5 million</t>
  </si>
  <si>
    <t xml:space="preserve">3 - 5 million</t>
  </si>
  <si>
    <t xml:space="preserve">yes</t>
  </si>
  <si>
    <t xml:space="preserve">2 - 3 million</t>
  </si>
  <si>
    <t xml:space="preserve">1 - 2 million</t>
  </si>
  <si>
    <t xml:space="preserve">&lt;1 million</t>
  </si>
  <si>
    <t xml:space="preserve">Banking Relationship (10%)</t>
  </si>
  <si>
    <t xml:space="preserve">Length of relationship with CBO (4%)</t>
  </si>
  <si>
    <t xml:space="preserve">&gt; 3years</t>
  </si>
  <si>
    <t xml:space="preserve">CBS</t>
  </si>
  <si>
    <t xml:space="preserve">2 - 3 years</t>
  </si>
  <si>
    <t xml:space="preserve">1 – 2 years</t>
  </si>
  <si>
    <t xml:space="preserve">&lt; 1 year</t>
  </si>
  <si>
    <t xml:space="preserve">The account transaction to sales percentage share with CBO(6%)</t>
  </si>
  <si>
    <t xml:space="preserve">&gt;100%</t>
  </si>
  <si>
    <t xml:space="preserve">90-99.9%</t>
  </si>
  <si>
    <t xml:space="preserve">80-89.9%</t>
  </si>
  <si>
    <t xml:space="preserve">70-79.9%</t>
  </si>
  <si>
    <t xml:space="preserve">coop stream work flow</t>
  </si>
  <si>
    <t xml:space="preserve">60-69.9%</t>
  </si>
  <si>
    <t xml:space="preserve">50-59.9%</t>
  </si>
  <si>
    <t xml:space="preserve">&lt;50%</t>
  </si>
  <si>
    <t xml:space="preserve">Character of applicant/management (6%)</t>
  </si>
  <si>
    <t xml:space="preserve">Consistency of presented document (2%)</t>
  </si>
  <si>
    <t xml:space="preserve">Adequate</t>
  </si>
  <si>
    <t xml:space="preserve">Inconsistent</t>
  </si>
  <si>
    <t xml:space="preserve">Responsiveness to wards bank's inquiry (2%)</t>
  </si>
  <si>
    <t xml:space="preserve">Provides consistently prompt</t>
  </si>
  <si>
    <t xml:space="preserve">Response and willingly</t>
  </si>
  <si>
    <t xml:space="preserve"> yes</t>
  </si>
  <si>
    <t xml:space="preserve">Responds with repeated Inquiry</t>
  </si>
  <si>
    <t xml:space="preserve">Not responsive or willing</t>
  </si>
  <si>
    <t xml:space="preserve">Corporate Responsibility (Tax Payment) (2%)</t>
  </si>
  <si>
    <t xml:space="preserve">Perfect</t>
  </si>
  <si>
    <t xml:space="preserve">Management and Ownership Risk (9%)</t>
  </si>
  <si>
    <t xml:space="preserve">S/No</t>
  </si>
  <si>
    <t xml:space="preserve">Source not available (CRM)</t>
  </si>
  <si>
    <t xml:space="preserve">Experience  in  related  Line of Business (4%)</t>
  </si>
  <si>
    <r>
      <rPr>
        <u val="single"/>
        <sz val="12"/>
        <color theme="1"/>
        <rFont val="Calisto MT"/>
        <family val="1"/>
        <charset val="1"/>
      </rPr>
      <t xml:space="preserve"> &gt;</t>
    </r>
    <r>
      <rPr>
        <sz val="12"/>
        <color theme="1"/>
        <rFont val="Calisto MT"/>
        <family val="1"/>
        <charset val="1"/>
      </rPr>
      <t xml:space="preserve">10</t>
    </r>
  </si>
  <si>
    <t xml:space="preserve">7- 10 years</t>
  </si>
  <si>
    <t xml:space="preserve">3- 7 Years</t>
  </si>
  <si>
    <t xml:space="preserve">&lt; 3 years</t>
  </si>
  <si>
    <t xml:space="preserve">Qualification (3%)</t>
  </si>
  <si>
    <t xml:space="preserve">If 51% and above of the top management Members are 1st Degree and above graduates</t>
  </si>
  <si>
    <t xml:space="preserve">If 51% and above of the top management Members are Diplomaand above graduates</t>
  </si>
  <si>
    <t xml:space="preserve">If 51% and above of the top management members are High School and above graduates</t>
  </si>
  <si>
    <t xml:space="preserve">If 51% and above of the top management members are below High School graduates</t>
  </si>
  <si>
    <t xml:space="preserve">Availability of clear duty and Segregation (2%)</t>
  </si>
  <si>
    <t xml:space="preserve">Clear outlined duties and responsibility supported by organizational structure</t>
  </si>
  <si>
    <t xml:space="preserve">Semi segregated duties and responsibilities supported by organizational structure</t>
  </si>
  <si>
    <t xml:space="preserve">Unclear duties, responsibilities and control system breached</t>
  </si>
  <si>
    <t xml:space="preserve">Range of Achievement</t>
  </si>
  <si>
    <t xml:space="preserve">Grade</t>
  </si>
  <si>
    <t xml:space="preserve">Risk level</t>
  </si>
  <si>
    <t xml:space="preserve">Bankability</t>
  </si>
  <si>
    <t xml:space="preserve">95% - 100%</t>
  </si>
  <si>
    <t xml:space="preserve">I</t>
  </si>
  <si>
    <t xml:space="preserve">Exceptionally low Risk</t>
  </si>
  <si>
    <t xml:space="preserve">Prime (Prominent)(bankable)</t>
  </si>
  <si>
    <t xml:space="preserve">80% - 94.9%</t>
  </si>
  <si>
    <t xml:space="preserve">II</t>
  </si>
  <si>
    <t xml:space="preserve">Very Low Risk</t>
  </si>
  <si>
    <t xml:space="preserve">Reputable (Bankable)</t>
  </si>
  <si>
    <t xml:space="preserve">65% - 79.9%</t>
  </si>
  <si>
    <t xml:space="preserve">III</t>
  </si>
  <si>
    <t xml:space="preserve">Low Risk</t>
  </si>
  <si>
    <t xml:space="preserve">Acceptable(Bankable)</t>
  </si>
  <si>
    <t xml:space="preserve">50% - 64.9%</t>
  </si>
  <si>
    <t xml:space="preserve">IV</t>
  </si>
  <si>
    <t xml:space="preserve">Moderate risk</t>
  </si>
  <si>
    <t xml:space="preserve">Watch list (Bankable)</t>
  </si>
  <si>
    <t xml:space="preserve">&lt; 50%</t>
  </si>
  <si>
    <t xml:space="preserve">V</t>
  </si>
  <si>
    <t xml:space="preserve">High risk</t>
  </si>
  <si>
    <t xml:space="preserve">Doubtful(Un-bankable )</t>
  </si>
  <si>
    <t xml:space="preserve">Collateral Risk (100%)</t>
  </si>
  <si>
    <t xml:space="preserve">Collateral Type (20%)</t>
  </si>
  <si>
    <t xml:space="preserve">Type of collateral</t>
  </si>
  <si>
    <t xml:space="preserve">Cash,  Cash Substitutes</t>
  </si>
  <si>
    <t xml:space="preserve">Building, Share certificate, Merchandize</t>
  </si>
  <si>
    <t xml:space="preserve">Machinery , Vehicle</t>
  </si>
  <si>
    <t xml:space="preserve">Corporate/Government/Bank and Personal Guarantee</t>
  </si>
  <si>
    <t xml:space="preserve">Export Document</t>
  </si>
  <si>
    <t xml:space="preserve">Land Lease Right/Coffee Plantation</t>
  </si>
  <si>
    <t xml:space="preserve">Second Degree Mortgage</t>
  </si>
  <si>
    <t xml:space="preserve">Collateral to Loan Coverage Ratio (80%)</t>
  </si>
  <si>
    <r>
      <rPr>
        <u val="single"/>
        <sz val="12"/>
        <color theme="1"/>
        <rFont val="Arial"/>
        <family val="2"/>
        <charset val="1"/>
      </rPr>
      <t xml:space="preserve">&gt;</t>
    </r>
    <r>
      <rPr>
        <sz val="12"/>
        <color theme="1"/>
        <rFont val="Arial"/>
        <family val="2"/>
        <charset val="1"/>
      </rPr>
      <t xml:space="preserve">110%</t>
    </r>
  </si>
  <si>
    <t xml:space="preserve">100%-110%</t>
  </si>
  <si>
    <t xml:space="preserve">80%-99.9%</t>
  </si>
  <si>
    <t xml:space="preserve">60%-79.9%</t>
  </si>
  <si>
    <t xml:space="preserve">50%-59.9%</t>
  </si>
  <si>
    <t xml:space="preserve">40%-49.9%</t>
  </si>
  <si>
    <t xml:space="preserve">30%-39.9%</t>
  </si>
  <si>
    <t xml:space="preserve">X&lt;30%</t>
  </si>
  <si>
    <t xml:space="preserve">Collateral Risk For Cooperatives (100%)</t>
  </si>
  <si>
    <r>
      <rPr>
        <u val="single"/>
        <sz val="12"/>
        <color theme="1"/>
        <rFont val="Arial"/>
        <family val="2"/>
        <charset val="1"/>
      </rPr>
      <t xml:space="preserve">&gt;6</t>
    </r>
    <r>
      <rPr>
        <sz val="12"/>
        <color theme="1"/>
        <rFont val="Arial"/>
        <family val="2"/>
        <charset val="1"/>
      </rPr>
      <t xml:space="preserve">0%</t>
    </r>
  </si>
  <si>
    <t xml:space="preserve">50%-60%</t>
  </si>
  <si>
    <t xml:space="preserve">20%-29.9%</t>
  </si>
  <si>
    <t xml:space="preserve">10%-19.9%</t>
  </si>
  <si>
    <t xml:space="preserve">X&lt;10%</t>
  </si>
  <si>
    <t xml:space="preserve">In addition , the pricing will be different(lower)  from other customers</t>
  </si>
  <si>
    <t xml:space="preserve">Description</t>
  </si>
  <si>
    <t xml:space="preserve">Value</t>
  </si>
  <si>
    <t xml:space="preserve">Risk Level </t>
  </si>
  <si>
    <t xml:space="preserve">Strongly Secured</t>
  </si>
  <si>
    <t xml:space="preserve">90% - 100%</t>
  </si>
  <si>
    <t xml:space="preserve">A</t>
  </si>
  <si>
    <t xml:space="preserve">No risk</t>
  </si>
  <si>
    <t xml:space="preserve">Fully Secured</t>
  </si>
  <si>
    <t xml:space="preserve">80% - 89.9%</t>
  </si>
  <si>
    <t xml:space="preserve">B</t>
  </si>
  <si>
    <t xml:space="preserve">Low risk</t>
  </si>
  <si>
    <t xml:space="preserve">Partially Secured</t>
  </si>
  <si>
    <t xml:space="preserve">70% - 79.9%</t>
  </si>
  <si>
    <t xml:space="preserve">C</t>
  </si>
  <si>
    <t xml:space="preserve">50% - 69.9%</t>
  </si>
  <si>
    <t xml:space="preserve">D</t>
  </si>
  <si>
    <t xml:space="preserve">Unsecured</t>
  </si>
  <si>
    <t xml:space="preserve">E</t>
  </si>
  <si>
    <t xml:space="preserve">Very high risk</t>
  </si>
  <si>
    <t xml:space="preserve">Security Strength \ Borrower Business Strength</t>
  </si>
  <si>
    <t xml:space="preserve">Borrower Business Strength</t>
  </si>
  <si>
    <t xml:space="preserve">Security Strength</t>
  </si>
  <si>
    <t xml:space="preserve">Prime</t>
  </si>
  <si>
    <t xml:space="preserve">Watch list</t>
  </si>
  <si>
    <t xml:space="preserve">Doubtful</t>
  </si>
  <si>
    <t xml:space="preserve">Loss</t>
  </si>
  <si>
    <t xml:space="preserve">AAA</t>
  </si>
  <si>
    <t xml:space="preserve">AA</t>
  </si>
  <si>
    <t xml:space="preserve">BBB</t>
  </si>
  <si>
    <t xml:space="preserve">BB</t>
  </si>
  <si>
    <t xml:space="preserve">CCC</t>
  </si>
  <si>
    <t xml:space="preserve">Partially Secured with moderate risk</t>
  </si>
  <si>
    <t xml:space="preserve">CC</t>
  </si>
  <si>
    <t xml:space="preserve">Partially Secured with high risk</t>
  </si>
  <si>
    <t xml:space="preserve">Collateral coverage and Risk level</t>
  </si>
  <si>
    <t xml:space="preserve">Risk matrix</t>
  </si>
  <si>
    <t xml:space="preserve">Risk Grade</t>
  </si>
  <si>
    <t xml:space="preserve">Prime (Prominent) (bankable)</t>
  </si>
  <si>
    <t xml:space="preserve">Strongly Secured with Exceptionally low Risk</t>
  </si>
  <si>
    <t xml:space="preserve">I &amp;A,I &amp; B and II &amp; A</t>
  </si>
  <si>
    <t xml:space="preserve">Fully Secured with Very Low Risk</t>
  </si>
  <si>
    <t xml:space="preserve">I &amp; C,II &amp; B and III &amp; A</t>
  </si>
  <si>
    <t xml:space="preserve">Partially secured with Low Risk</t>
  </si>
  <si>
    <t xml:space="preserve">I &amp; D, I &amp; E, II &amp;C, II &amp; D, II &amp; E, III &amp; B, III &amp; C  and IV &amp; A</t>
  </si>
  <si>
    <t xml:space="preserve">Partially Secured with Moderate risk</t>
  </si>
  <si>
    <t xml:space="preserve">III &amp; D, III &amp; E, IV&amp;B  and IV&amp;C</t>
  </si>
  <si>
    <t xml:space="preserve">Unsecured with High risk</t>
  </si>
  <si>
    <t xml:space="preserve">IV &amp; D, IV &amp; E,V &amp; A-E</t>
  </si>
  <si>
    <t xml:space="preserve">Collateral RISK</t>
  </si>
</sst>
</file>

<file path=xl/styles.xml><?xml version="1.0" encoding="utf-8"?>
<styleSheet xmlns="http://schemas.openxmlformats.org/spreadsheetml/2006/main">
  <numFmts count="16">
    <numFmt numFmtId="164" formatCode="General"/>
    <numFmt numFmtId="165" formatCode="_(* #,##0.00_);_(* \(#,##0.00\);_(* \-??_);_(@_)"/>
    <numFmt numFmtId="166" formatCode="_(\$* #,##0.00_);_(\$* \(#,##0.00\);_(\$* \-??_);_(@_)"/>
    <numFmt numFmtId="167" formatCode="#,##0.00"/>
    <numFmt numFmtId="168" formatCode="m/d/yyyy"/>
    <numFmt numFmtId="169" formatCode="#,##0.0"/>
    <numFmt numFmtId="170" formatCode="0%"/>
    <numFmt numFmtId="171" formatCode="#,##0"/>
    <numFmt numFmtId="172" formatCode="#,##0.0_);\(#,##0.0\)"/>
    <numFmt numFmtId="173" formatCode="0"/>
    <numFmt numFmtId="174" formatCode="#,##0_);\(#,##0\)"/>
    <numFmt numFmtId="175" formatCode="#,##0.00_);\(#,##0.00\)"/>
    <numFmt numFmtId="176" formatCode="0.00%"/>
    <numFmt numFmtId="177" formatCode="# ?/?"/>
    <numFmt numFmtId="178" formatCode="@"/>
    <numFmt numFmtId="179" formatCode="d\-mmm"/>
  </numFmts>
  <fonts count="104">
    <font>
      <sz val="11"/>
      <color theme="1"/>
      <name val="Calibri"/>
      <family val="2"/>
      <charset val="1"/>
    </font>
    <font>
      <sz val="10"/>
      <name val="Arial"/>
      <family val="0"/>
    </font>
    <font>
      <sz val="10"/>
      <name val="Arial"/>
      <family val="0"/>
    </font>
    <font>
      <sz val="10"/>
      <name val="Arial"/>
      <family val="0"/>
    </font>
    <font>
      <sz val="11"/>
      <color theme="1"/>
      <name val="Agency FB"/>
      <family val="2"/>
      <charset val="1"/>
    </font>
    <font>
      <b val="true"/>
      <sz val="11"/>
      <color rgb="FFFA7D00"/>
      <name val="Agency FB"/>
      <family val="2"/>
      <charset val="1"/>
    </font>
    <font>
      <sz val="11"/>
      <color rgb="FF3F3F76"/>
      <name val="Agency FB"/>
      <family val="2"/>
      <charset val="1"/>
    </font>
    <font>
      <sz val="10"/>
      <name val="Arial"/>
      <family val="0"/>
      <charset val="1"/>
    </font>
    <font>
      <sz val="10"/>
      <name val="Calibri"/>
      <family val="1"/>
      <charset val="1"/>
    </font>
    <font>
      <sz val="10"/>
      <name val="Century"/>
      <family val="1"/>
      <charset val="1"/>
    </font>
    <font>
      <b val="true"/>
      <sz val="10"/>
      <color theme="1"/>
      <name val="Century"/>
      <family val="1"/>
      <charset val="1"/>
    </font>
    <font>
      <sz val="10"/>
      <color rgb="FF003300"/>
      <name val="Century"/>
      <family val="1"/>
      <charset val="1"/>
    </font>
    <font>
      <b val="true"/>
      <sz val="10"/>
      <color rgb="FFCC99FF"/>
      <name val="Century"/>
      <family val="1"/>
      <charset val="1"/>
    </font>
    <font>
      <b val="true"/>
      <sz val="10"/>
      <color rgb="FF800000"/>
      <name val="Century"/>
      <family val="1"/>
      <charset val="1"/>
    </font>
    <font>
      <b val="true"/>
      <sz val="10"/>
      <color rgb="FF000080"/>
      <name val="Century"/>
      <family val="1"/>
      <charset val="1"/>
    </font>
    <font>
      <sz val="10"/>
      <color rgb="FF800000"/>
      <name val="Century"/>
      <family val="1"/>
      <charset val="1"/>
    </font>
    <font>
      <i val="true"/>
      <sz val="10"/>
      <color rgb="FF800000"/>
      <name val="Century"/>
      <family val="1"/>
      <charset val="1"/>
    </font>
    <font>
      <b val="true"/>
      <sz val="10"/>
      <color rgb="FFFF0000"/>
      <name val="Century"/>
      <family val="1"/>
      <charset val="1"/>
    </font>
    <font>
      <sz val="10"/>
      <color rgb="FF000080"/>
      <name val="Century"/>
      <family val="1"/>
      <charset val="1"/>
    </font>
    <font>
      <b val="true"/>
      <sz val="10"/>
      <color rgb="FFFFFFFF"/>
      <name val="Century"/>
      <family val="1"/>
      <charset val="1"/>
    </font>
    <font>
      <b val="true"/>
      <sz val="10"/>
      <color rgb="FF333300"/>
      <name val="Century"/>
      <family val="1"/>
      <charset val="1"/>
    </font>
    <font>
      <sz val="10"/>
      <color rgb="FF333300"/>
      <name val="Century"/>
      <family val="1"/>
      <charset val="1"/>
    </font>
    <font>
      <b val="true"/>
      <sz val="10"/>
      <color rgb="FF003300"/>
      <name val="Century"/>
      <family val="1"/>
      <charset val="1"/>
    </font>
    <font>
      <b val="true"/>
      <sz val="10"/>
      <color rgb="FF008000"/>
      <name val="Century"/>
      <family val="1"/>
      <charset val="1"/>
    </font>
    <font>
      <sz val="10"/>
      <color rgb="FFFF0000"/>
      <name val="Century"/>
      <family val="1"/>
      <charset val="1"/>
    </font>
    <font>
      <b val="true"/>
      <i val="true"/>
      <sz val="10"/>
      <color rgb="FFFFFFFF"/>
      <name val="Century"/>
      <family val="1"/>
      <charset val="1"/>
    </font>
    <font>
      <b val="true"/>
      <i val="true"/>
      <sz val="10"/>
      <color rgb="FF800000"/>
      <name val="Century"/>
      <family val="1"/>
      <charset val="1"/>
    </font>
    <font>
      <b val="true"/>
      <sz val="10"/>
      <color rgb="FF993300"/>
      <name val="Century"/>
      <family val="1"/>
      <charset val="1"/>
    </font>
    <font>
      <b val="true"/>
      <sz val="10"/>
      <color rgb="FF339966"/>
      <name val="Century"/>
      <family val="1"/>
      <charset val="1"/>
    </font>
    <font>
      <b val="true"/>
      <sz val="10"/>
      <color rgb="FFFF00FF"/>
      <name val="Century"/>
      <family val="1"/>
      <charset val="1"/>
    </font>
    <font>
      <b val="true"/>
      <sz val="10"/>
      <color rgb="FF000000"/>
      <name val="Century"/>
      <family val="1"/>
      <charset val="1"/>
    </font>
    <font>
      <b val="true"/>
      <sz val="10"/>
      <color rgb="FF003366"/>
      <name val="Century"/>
      <family val="1"/>
      <charset val="1"/>
    </font>
    <font>
      <sz val="10"/>
      <color rgb="FF800080"/>
      <name val="Century"/>
      <family val="1"/>
      <charset val="1"/>
    </font>
    <font>
      <b val="true"/>
      <sz val="10"/>
      <color rgb="FF800080"/>
      <name val="Century"/>
      <family val="1"/>
      <charset val="1"/>
    </font>
    <font>
      <b val="true"/>
      <sz val="10"/>
      <color rgb="FF0000FF"/>
      <name val="Century"/>
      <family val="1"/>
      <charset val="1"/>
    </font>
    <font>
      <sz val="10"/>
      <color rgb="FF993300"/>
      <name val="Century"/>
      <family val="1"/>
      <charset val="1"/>
    </font>
    <font>
      <sz val="10"/>
      <color theme="1"/>
      <name val="Century"/>
      <family val="1"/>
      <charset val="1"/>
    </font>
    <font>
      <sz val="10"/>
      <name val="Arial"/>
      <family val="2"/>
    </font>
    <font>
      <sz val="14"/>
      <color rgb="FF800000"/>
      <name val="Tahoma"/>
      <family val="2"/>
      <charset val="1"/>
    </font>
    <font>
      <sz val="14"/>
      <color rgb="FF000080"/>
      <name val="Tahoma"/>
      <family val="2"/>
      <charset val="1"/>
    </font>
    <font>
      <sz val="14"/>
      <color rgb="FF003366"/>
      <name val="Tahoma"/>
      <family val="2"/>
      <charset val="1"/>
    </font>
    <font>
      <sz val="14"/>
      <color rgb="FF000000"/>
      <name val="Tahoma"/>
      <family val="2"/>
      <charset val="1"/>
    </font>
    <font>
      <sz val="14"/>
      <color rgb="FFFF0000"/>
      <name val="Tahoma"/>
      <family val="2"/>
      <charset val="1"/>
    </font>
    <font>
      <b val="true"/>
      <sz val="11"/>
      <color rgb="FF003366"/>
      <name val="Tahoma"/>
      <family val="2"/>
      <charset val="1"/>
    </font>
    <font>
      <b val="true"/>
      <sz val="10"/>
      <color rgb="FF000080"/>
      <name val="Tahoma"/>
      <family val="2"/>
      <charset val="1"/>
    </font>
    <font>
      <b val="true"/>
      <sz val="14"/>
      <color rgb="FF003300"/>
      <name val="Tahoma"/>
      <family val="2"/>
      <charset val="1"/>
    </font>
    <font>
      <sz val="12"/>
      <color rgb="FF0000FF"/>
      <name val="Tahoma"/>
      <family val="2"/>
      <charset val="1"/>
    </font>
    <font>
      <sz val="12"/>
      <color rgb="FFFF00FF"/>
      <name val="Tahoma"/>
      <family val="2"/>
      <charset val="1"/>
    </font>
    <font>
      <sz val="9"/>
      <color rgb="FF000000"/>
      <name val="Tahoma"/>
      <family val="2"/>
      <charset val="1"/>
    </font>
    <font>
      <b val="true"/>
      <sz val="10"/>
      <color rgb="FF003300"/>
      <name val="Tahoma"/>
      <family val="2"/>
      <charset val="1"/>
    </font>
    <font>
      <sz val="10"/>
      <color rgb="FF000000"/>
      <name val="Tahoma"/>
      <family val="2"/>
      <charset val="1"/>
    </font>
    <font>
      <b val="true"/>
      <sz val="10"/>
      <color rgb="FF000000"/>
      <name val="Tahoma"/>
      <family val="2"/>
      <charset val="1"/>
    </font>
    <font>
      <b val="true"/>
      <sz val="12"/>
      <color rgb="FF993300"/>
      <name val="Tahoma"/>
      <family val="2"/>
      <charset val="1"/>
    </font>
    <font>
      <sz val="12"/>
      <color rgb="FF003366"/>
      <name val="Tahoma"/>
      <family val="2"/>
      <charset val="1"/>
    </font>
    <font>
      <sz val="12"/>
      <color rgb="FFFF0000"/>
      <name val="Tahoma"/>
      <family val="2"/>
      <charset val="1"/>
    </font>
    <font>
      <b val="true"/>
      <sz val="12"/>
      <color rgb="FFFF0000"/>
      <name val="Tahoma"/>
      <family val="2"/>
      <charset val="1"/>
    </font>
    <font>
      <b val="true"/>
      <sz val="10"/>
      <color rgb="FFFF0000"/>
      <name val="Tahoma"/>
      <family val="2"/>
      <charset val="1"/>
    </font>
    <font>
      <b val="true"/>
      <sz val="10"/>
      <color rgb="FF800000"/>
      <name val="Tahoma"/>
      <family val="2"/>
      <charset val="1"/>
    </font>
    <font>
      <b val="true"/>
      <sz val="10"/>
      <color rgb="FF0000FF"/>
      <name val="Tahoma"/>
      <family val="2"/>
      <charset val="1"/>
    </font>
    <font>
      <sz val="14"/>
      <color rgb="FFFF00FF"/>
      <name val="Tahoma"/>
      <family val="2"/>
      <charset val="1"/>
    </font>
    <font>
      <b val="true"/>
      <sz val="11"/>
      <color rgb="FF800000"/>
      <name val="Tahoma"/>
      <family val="2"/>
      <charset val="1"/>
    </font>
    <font>
      <b val="true"/>
      <sz val="11"/>
      <color rgb="FFFF00FF"/>
      <name val="Tahoma"/>
      <family val="2"/>
      <charset val="1"/>
    </font>
    <font>
      <b val="true"/>
      <sz val="12"/>
      <color rgb="FFFF0000"/>
      <name val="Times New Roman"/>
      <family val="1"/>
      <charset val="1"/>
    </font>
    <font>
      <sz val="8"/>
      <color rgb="FF000000"/>
      <name val="Tahoma"/>
      <family val="2"/>
      <charset val="1"/>
    </font>
    <font>
      <b val="true"/>
      <sz val="12"/>
      <color rgb="FFFF00FF"/>
      <name val="Tahoma"/>
      <family val="2"/>
      <charset val="1"/>
    </font>
    <font>
      <b val="true"/>
      <sz val="10"/>
      <color rgb="FFFF00FF"/>
      <name val="Tahoma"/>
      <family val="2"/>
      <charset val="1"/>
    </font>
    <font>
      <b val="true"/>
      <sz val="12"/>
      <color rgb="FF800000"/>
      <name val="Tahoma"/>
      <family val="2"/>
      <charset val="1"/>
    </font>
    <font>
      <b val="true"/>
      <sz val="10"/>
      <color rgb="FF333399"/>
      <name val="Tahoma"/>
      <family val="2"/>
      <charset val="1"/>
    </font>
    <font>
      <b val="true"/>
      <sz val="10"/>
      <color rgb="FF333300"/>
      <name val="Tahoma"/>
      <family val="2"/>
      <charset val="1"/>
    </font>
    <font>
      <b val="true"/>
      <sz val="10"/>
      <color rgb="FF003366"/>
      <name val="Tahoma"/>
      <family val="2"/>
      <charset val="1"/>
    </font>
    <font>
      <b val="true"/>
      <sz val="8"/>
      <color rgb="FFFF0000"/>
      <name val="Tahoma"/>
      <family val="2"/>
      <charset val="1"/>
    </font>
    <font>
      <b val="true"/>
      <sz val="11"/>
      <color rgb="FF000000"/>
      <name val="Tahoma"/>
      <family val="2"/>
      <charset val="1"/>
    </font>
    <font>
      <b val="true"/>
      <sz val="8"/>
      <color rgb="FFFF00FF"/>
      <name val="Tahoma"/>
      <family val="2"/>
      <charset val="1"/>
    </font>
    <font>
      <b val="true"/>
      <sz val="11"/>
      <color rgb="FF000080"/>
      <name val="Tahoma"/>
      <family val="2"/>
      <charset val="1"/>
    </font>
    <font>
      <b val="true"/>
      <sz val="12"/>
      <color rgb="FF000080"/>
      <name val="Tahoma"/>
      <family val="2"/>
      <charset val="1"/>
    </font>
    <font>
      <b val="true"/>
      <sz val="14"/>
      <color rgb="FFFF00FF"/>
      <name val="Tahoma"/>
      <family val="2"/>
      <charset val="1"/>
    </font>
    <font>
      <b val="true"/>
      <sz val="12"/>
      <color rgb="FF003366"/>
      <name val="Tahoma"/>
      <family val="2"/>
      <charset val="1"/>
    </font>
    <font>
      <b val="true"/>
      <sz val="12"/>
      <color rgb="FF800080"/>
      <name val="Tahoma"/>
      <family val="2"/>
      <charset val="1"/>
    </font>
    <font>
      <b val="true"/>
      <sz val="12"/>
      <color rgb="FF008000"/>
      <name val="Tahoma"/>
      <family val="2"/>
      <charset val="1"/>
    </font>
    <font>
      <b val="true"/>
      <sz val="14"/>
      <color rgb="FF000080"/>
      <name val="Tahoma"/>
      <family val="2"/>
      <charset val="1"/>
    </font>
    <font>
      <b val="true"/>
      <sz val="14"/>
      <color rgb="FF0000FF"/>
      <name val="Tahoma"/>
      <family val="2"/>
      <charset val="1"/>
    </font>
    <font>
      <b val="true"/>
      <sz val="14"/>
      <color rgb="FF003366"/>
      <name val="Tahoma"/>
      <family val="2"/>
      <charset val="1"/>
    </font>
    <font>
      <sz val="12"/>
      <color theme="1"/>
      <name val="Calibri"/>
      <family val="2"/>
      <charset val="1"/>
    </font>
    <font>
      <b val="true"/>
      <sz val="12"/>
      <color theme="1"/>
      <name val="Calibri"/>
      <family val="2"/>
      <charset val="1"/>
    </font>
    <font>
      <b val="true"/>
      <sz val="12"/>
      <color rgb="FF000000"/>
      <name val="Calibri"/>
      <family val="2"/>
      <charset val="1"/>
    </font>
    <font>
      <b val="true"/>
      <sz val="11"/>
      <color theme="1"/>
      <name val="Calibri"/>
      <family val="2"/>
      <charset val="1"/>
    </font>
    <font>
      <sz val="12"/>
      <color theme="1"/>
      <name val="Calisto MT"/>
      <family val="1"/>
      <charset val="1"/>
    </font>
    <font>
      <b val="true"/>
      <sz val="12"/>
      <color theme="1"/>
      <name val="Calisto MT"/>
      <family val="1"/>
      <charset val="1"/>
    </font>
    <font>
      <b val="true"/>
      <sz val="12"/>
      <name val="Calisto MT"/>
      <family val="1"/>
      <charset val="1"/>
    </font>
    <font>
      <sz val="12"/>
      <name val="Calisto MT"/>
      <family val="1"/>
      <charset val="1"/>
    </font>
    <font>
      <b val="true"/>
      <sz val="12"/>
      <color theme="1"/>
      <name val="Arial"/>
      <family val="2"/>
      <charset val="1"/>
    </font>
    <font>
      <sz val="11.5"/>
      <color rgb="FF000000"/>
      <name val="Arial"/>
      <family val="2"/>
      <charset val="1"/>
    </font>
    <font>
      <sz val="12"/>
      <color theme="1"/>
      <name val="Arial"/>
      <family val="2"/>
      <charset val="1"/>
    </font>
    <font>
      <sz val="11.5"/>
      <color theme="1"/>
      <name val="Arial"/>
      <family val="2"/>
      <charset val="1"/>
    </font>
    <font>
      <sz val="11"/>
      <color theme="1"/>
      <name val="Arial"/>
      <family val="2"/>
      <charset val="1"/>
    </font>
    <font>
      <b val="true"/>
      <sz val="11"/>
      <color theme="1"/>
      <name val="Arial"/>
      <family val="2"/>
      <charset val="1"/>
    </font>
    <font>
      <u val="single"/>
      <sz val="12"/>
      <color theme="1"/>
      <name val="Arial"/>
      <family val="2"/>
      <charset val="1"/>
    </font>
    <font>
      <sz val="11"/>
      <color rgb="FFFF0000"/>
      <name val="Arial"/>
      <family val="2"/>
      <charset val="1"/>
    </font>
    <font>
      <sz val="12"/>
      <name val="Arial"/>
      <family val="2"/>
      <charset val="1"/>
    </font>
    <font>
      <sz val="10"/>
      <color theme="1"/>
      <name val="Times New Roman"/>
      <family val="1"/>
      <charset val="1"/>
    </font>
    <font>
      <u val="single"/>
      <sz val="12"/>
      <color theme="1"/>
      <name val="Calisto MT"/>
      <family val="1"/>
      <charset val="1"/>
    </font>
    <font>
      <sz val="11"/>
      <color theme="1"/>
      <name val="Times New Roman"/>
      <family val="1"/>
      <charset val="1"/>
    </font>
    <font>
      <sz val="12"/>
      <color rgb="FF000000"/>
      <name val="Arial"/>
      <family val="2"/>
      <charset val="1"/>
    </font>
    <font>
      <sz val="12.5"/>
      <color theme="1"/>
      <name val="Arial"/>
      <family val="2"/>
      <charset val="1"/>
    </font>
  </fonts>
  <fills count="14">
    <fill>
      <patternFill patternType="none"/>
    </fill>
    <fill>
      <patternFill patternType="gray125"/>
    </fill>
    <fill>
      <patternFill patternType="solid">
        <fgColor theme="6" tint="0.7999"/>
        <bgColor rgb="FFF2F2F2"/>
      </patternFill>
    </fill>
    <fill>
      <patternFill patternType="solid">
        <fgColor rgb="FFF2F2F2"/>
        <bgColor rgb="FFEDEDED"/>
      </patternFill>
    </fill>
    <fill>
      <patternFill patternType="solid">
        <fgColor rgb="FFFFCC99"/>
        <bgColor rgb="FFC0C0C0"/>
      </patternFill>
    </fill>
    <fill>
      <patternFill patternType="solid">
        <fgColor rgb="FFCC99FF"/>
        <bgColor rgb="FF9999FF"/>
      </patternFill>
    </fill>
    <fill>
      <patternFill patternType="solid">
        <fgColor rgb="FFCCFFFF"/>
        <bgColor rgb="FFCCFFCC"/>
      </patternFill>
    </fill>
    <fill>
      <patternFill patternType="solid">
        <fgColor rgb="FFFFFFFF"/>
        <bgColor rgb="FFF2F2F2"/>
      </patternFill>
    </fill>
    <fill>
      <patternFill patternType="solid">
        <fgColor rgb="FFFF99CC"/>
        <bgColor rgb="FFFF8080"/>
      </patternFill>
    </fill>
    <fill>
      <patternFill patternType="solid">
        <fgColor rgb="FF000000"/>
        <bgColor rgb="FF003300"/>
      </patternFill>
    </fill>
    <fill>
      <patternFill patternType="solid">
        <fgColor rgb="FFCCFFCC"/>
        <bgColor rgb="FFCCFFFF"/>
      </patternFill>
    </fill>
    <fill>
      <patternFill patternType="solid">
        <fgColor theme="4" tint="0.3999"/>
        <bgColor rgb="FFC0C0C0"/>
      </patternFill>
    </fill>
    <fill>
      <patternFill patternType="solid">
        <fgColor rgb="FFEAF1DD"/>
        <bgColor rgb="FFEDEDED"/>
      </patternFill>
    </fill>
    <fill>
      <patternFill patternType="solid">
        <fgColor rgb="FFFFFF00"/>
        <bgColor rgb="FFFFFF00"/>
      </patternFill>
    </fill>
  </fills>
  <borders count="6">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diagonal/>
    </border>
    <border diagonalUp="false" diagonalDown="false">
      <left style="medium"/>
      <right style="medium"/>
      <top/>
      <bottom style="medium"/>
      <diagonal/>
    </border>
    <border diagonalUp="false" diagonalDown="false">
      <left/>
      <right/>
      <top style="thin"/>
      <bottom/>
      <diagonal/>
    </border>
    <border diagonalUp="false" diagonalDown="false">
      <left/>
      <right style="thin"/>
      <top style="thin"/>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5" fillId="3" borderId="1" applyFont="true" applyBorder="tru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4" fontId="6" fillId="4" borderId="1" applyFont="true" applyBorder="true" applyAlignment="true" applyProtection="false">
      <alignment horizontal="general" vertical="bottom" textRotation="0" wrapText="false" indent="0" shrinkToFit="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206">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26" applyFont="true" applyBorder="false" applyAlignment="false" applyProtection="false">
      <alignment horizontal="general" vertical="bottom" textRotation="0" wrapText="false" indent="0" shrinkToFit="false"/>
      <protection locked="true" hidden="false"/>
    </xf>
    <xf numFmtId="164" fontId="10" fillId="0" borderId="0" xfId="26" applyFont="true" applyBorder="true" applyAlignment="true" applyProtection="false">
      <alignment horizontal="center" vertical="bottom" textRotation="0" wrapText="false" indent="0" shrinkToFit="false"/>
      <protection locked="true" hidden="false"/>
    </xf>
    <xf numFmtId="164" fontId="9" fillId="0" borderId="0" xfId="26" applyFont="true" applyBorder="true" applyAlignment="true" applyProtection="false">
      <alignment horizontal="center" vertical="bottom" textRotation="0" wrapText="false" indent="0" shrinkToFit="false"/>
      <protection locked="true" hidden="false"/>
    </xf>
    <xf numFmtId="164" fontId="11" fillId="5" borderId="2" xfId="26" applyFont="true" applyBorder="true" applyAlignment="true" applyProtection="false">
      <alignment horizontal="left" vertical="bottom" textRotation="0" wrapText="true" indent="0" shrinkToFit="false"/>
      <protection locked="true" hidden="false"/>
    </xf>
    <xf numFmtId="164" fontId="12" fillId="5" borderId="2" xfId="26" applyFont="true" applyBorder="true" applyAlignment="true" applyProtection="false">
      <alignment horizontal="center" vertical="bottom" textRotation="0" wrapText="false" indent="0" shrinkToFit="false"/>
      <protection locked="true" hidden="false"/>
    </xf>
    <xf numFmtId="164" fontId="13" fillId="4" borderId="2" xfId="26" applyFont="true" applyBorder="true" applyAlignment="false" applyProtection="true">
      <alignment horizontal="general" vertical="bottom" textRotation="0" wrapText="false" indent="0" shrinkToFit="false"/>
      <protection locked="true" hidden="false"/>
    </xf>
    <xf numFmtId="164" fontId="14" fillId="4" borderId="2" xfId="26" applyFont="true" applyBorder="true" applyAlignment="true" applyProtection="true">
      <alignment horizontal="general" vertical="bottom" textRotation="0" wrapText="false" indent="0" shrinkToFit="false"/>
      <protection locked="false" hidden="false"/>
    </xf>
    <xf numFmtId="164" fontId="15" fillId="6" borderId="2" xfId="26" applyFont="true" applyBorder="true" applyAlignment="true" applyProtection="true">
      <alignment horizontal="left" vertical="bottom" textRotation="0" wrapText="true" indent="0" shrinkToFit="false"/>
      <protection locked="true" hidden="false"/>
    </xf>
    <xf numFmtId="164" fontId="14" fillId="4" borderId="2" xfId="26" applyFont="true" applyBorder="true" applyAlignment="true" applyProtection="true">
      <alignment horizontal="left" vertical="bottom" textRotation="0" wrapText="false" indent="0" shrinkToFit="false"/>
      <protection locked="false" hidden="false"/>
    </xf>
    <xf numFmtId="164" fontId="16" fillId="5" borderId="2" xfId="26" applyFont="true" applyBorder="true" applyAlignment="true" applyProtection="true">
      <alignment horizontal="center" vertical="bottom" textRotation="0" wrapText="false" indent="0" shrinkToFit="false"/>
      <protection locked="false" hidden="false"/>
    </xf>
    <xf numFmtId="164" fontId="13" fillId="4" borderId="2" xfId="26" applyFont="true" applyBorder="true" applyAlignment="true" applyProtection="false">
      <alignment horizontal="left" vertical="bottom" textRotation="0" wrapText="false" indent="0" shrinkToFit="false"/>
      <protection locked="true" hidden="false"/>
    </xf>
    <xf numFmtId="164" fontId="17" fillId="4" borderId="2" xfId="26" applyFont="true" applyBorder="true" applyAlignment="true" applyProtection="true">
      <alignment horizontal="left" vertical="bottom" textRotation="0" wrapText="false" indent="0" shrinkToFit="false"/>
      <protection locked="true" hidden="false"/>
    </xf>
    <xf numFmtId="164" fontId="13" fillId="4" borderId="2" xfId="26" applyFont="true" applyBorder="true" applyAlignment="true" applyProtection="true">
      <alignment horizontal="left" vertical="bottom" textRotation="0" wrapText="false" indent="0" shrinkToFit="false"/>
      <protection locked="true" hidden="false"/>
    </xf>
    <xf numFmtId="164" fontId="18" fillId="4" borderId="2" xfId="26" applyFont="true" applyBorder="true" applyAlignment="false" applyProtection="true">
      <alignment horizontal="general" vertical="bottom" textRotation="0" wrapText="false" indent="0" shrinkToFit="false"/>
      <protection locked="false" hidden="false"/>
    </xf>
    <xf numFmtId="164" fontId="19" fillId="4" borderId="2" xfId="26" applyFont="true" applyBorder="true" applyAlignment="true" applyProtection="true">
      <alignment horizontal="left" vertical="bottom" textRotation="0" wrapText="false" indent="0" shrinkToFit="false"/>
      <protection locked="true" hidden="false"/>
    </xf>
    <xf numFmtId="164" fontId="20" fillId="5" borderId="2" xfId="26" applyFont="true" applyBorder="true" applyAlignment="true" applyProtection="true">
      <alignment horizontal="general" vertical="center" textRotation="0" wrapText="true" indent="0" shrinkToFit="false"/>
      <protection locked="true" hidden="false"/>
    </xf>
    <xf numFmtId="164" fontId="20" fillId="5" borderId="2" xfId="26" applyFont="true" applyBorder="true" applyAlignment="true" applyProtection="false">
      <alignment horizontal="general" vertical="top" textRotation="0" wrapText="true" indent="0" shrinkToFit="false"/>
      <protection locked="true" hidden="false"/>
    </xf>
    <xf numFmtId="164" fontId="20" fillId="5" borderId="2" xfId="26" applyFont="true" applyBorder="true" applyAlignment="true" applyProtection="false">
      <alignment horizontal="general" vertical="center" textRotation="0" wrapText="true" indent="0" shrinkToFit="false"/>
      <protection locked="true" hidden="false"/>
    </xf>
    <xf numFmtId="164" fontId="14" fillId="5" borderId="2" xfId="26" applyFont="true" applyBorder="true" applyAlignment="true" applyProtection="true">
      <alignment horizontal="general" vertical="center" textRotation="0" wrapText="true" indent="0" shrinkToFit="false"/>
      <protection locked="false" hidden="false"/>
    </xf>
    <xf numFmtId="164" fontId="14" fillId="4" borderId="2" xfId="26" applyFont="true" applyBorder="true" applyAlignment="true" applyProtection="true">
      <alignment horizontal="left" vertical="bottom" textRotation="0" wrapText="false" indent="1" shrinkToFit="true"/>
      <protection locked="false" hidden="false"/>
    </xf>
    <xf numFmtId="167" fontId="14" fillId="4" borderId="2" xfId="26" applyFont="true" applyBorder="true" applyAlignment="true" applyProtection="true">
      <alignment horizontal="right" vertical="bottom" textRotation="0" wrapText="true" indent="0" shrinkToFit="false"/>
      <protection locked="false" hidden="false"/>
    </xf>
    <xf numFmtId="168" fontId="13" fillId="4" borderId="2" xfId="26" applyFont="true" applyBorder="true" applyAlignment="true" applyProtection="true">
      <alignment horizontal="center" vertical="bottom" textRotation="0" wrapText="true" indent="0" shrinkToFit="false"/>
      <protection locked="false" hidden="false"/>
    </xf>
    <xf numFmtId="164" fontId="22" fillId="7" borderId="2" xfId="26" applyFont="true" applyBorder="true" applyAlignment="true" applyProtection="true">
      <alignment horizontal="left" vertical="bottom" textRotation="0" wrapText="true" indent="0" shrinkToFit="false"/>
      <protection locked="true" hidden="false"/>
    </xf>
    <xf numFmtId="167" fontId="22" fillId="7" borderId="2" xfId="26" applyFont="true" applyBorder="true" applyAlignment="true" applyProtection="true">
      <alignment horizontal="right" vertical="bottom" textRotation="0" wrapText="true" indent="0" shrinkToFit="false"/>
      <protection locked="true" hidden="false"/>
    </xf>
    <xf numFmtId="167" fontId="22" fillId="7" borderId="2" xfId="26" applyFont="true" applyBorder="true" applyAlignment="true" applyProtection="true">
      <alignment horizontal="left" vertical="bottom" textRotation="0" wrapText="true" indent="0" shrinkToFit="false"/>
      <protection locked="true" hidden="false"/>
    </xf>
    <xf numFmtId="169" fontId="22" fillId="7" borderId="2" xfId="26" applyFont="true" applyBorder="true" applyAlignment="true" applyProtection="true">
      <alignment horizontal="right" vertical="bottom" textRotation="0" wrapText="true" indent="0" shrinkToFit="false"/>
      <protection locked="true" hidden="false"/>
    </xf>
    <xf numFmtId="164" fontId="22" fillId="7" borderId="2" xfId="26" applyFont="true" applyBorder="true" applyAlignment="true" applyProtection="true">
      <alignment horizontal="center" vertical="bottom" textRotation="0" wrapText="true" indent="0" shrinkToFit="false"/>
      <protection locked="true" hidden="false"/>
    </xf>
    <xf numFmtId="164" fontId="13" fillId="5" borderId="2" xfId="26" applyFont="true" applyBorder="true" applyAlignment="false" applyProtection="true">
      <alignment horizontal="general" vertical="bottom" textRotation="0" wrapText="false" indent="0" shrinkToFit="false"/>
      <protection locked="true" hidden="false"/>
    </xf>
    <xf numFmtId="164" fontId="11" fillId="5" borderId="2" xfId="26" applyFont="true" applyBorder="true" applyAlignment="true" applyProtection="true">
      <alignment horizontal="center" vertical="bottom" textRotation="0" wrapText="true" indent="0" shrinkToFit="false"/>
      <protection locked="true" hidden="false"/>
    </xf>
    <xf numFmtId="164" fontId="23" fillId="8" borderId="2" xfId="26" applyFont="true" applyBorder="true" applyAlignment="true" applyProtection="true">
      <alignment horizontal="center" vertical="bottom" textRotation="0" wrapText="false" indent="0" shrinkToFit="false"/>
      <protection locked="false" hidden="false"/>
    </xf>
    <xf numFmtId="164" fontId="17" fillId="7" borderId="2" xfId="26" applyFont="true" applyBorder="true" applyAlignment="true" applyProtection="true">
      <alignment horizontal="left" vertical="bottom" textRotation="0" wrapText="true" indent="0" shrinkToFit="false"/>
      <protection locked="true" hidden="false"/>
    </xf>
    <xf numFmtId="164" fontId="24" fillId="7" borderId="2" xfId="26" applyFont="true" applyBorder="true" applyAlignment="true" applyProtection="true">
      <alignment horizontal="center" vertical="bottom" textRotation="0" wrapText="true" indent="0" shrinkToFit="false"/>
      <protection locked="true" hidden="false"/>
    </xf>
    <xf numFmtId="164" fontId="25" fillId="9" borderId="2" xfId="26" applyFont="true" applyBorder="true" applyAlignment="true" applyProtection="true">
      <alignment horizontal="center" vertical="bottom" textRotation="0" wrapText="false" indent="0" shrinkToFit="false"/>
      <protection locked="true" hidden="false"/>
    </xf>
    <xf numFmtId="164" fontId="22" fillId="5" borderId="2" xfId="26" applyFont="true" applyBorder="true" applyAlignment="true" applyProtection="true">
      <alignment horizontal="general" vertical="center" textRotation="0" wrapText="true" indent="0" shrinkToFit="false"/>
      <protection locked="true" hidden="false"/>
    </xf>
    <xf numFmtId="164" fontId="15" fillId="5" borderId="2" xfId="26" applyFont="true" applyBorder="true" applyAlignment="true" applyProtection="true">
      <alignment horizontal="center" vertical="center" textRotation="0" wrapText="true" indent="0" shrinkToFit="false"/>
      <protection locked="true" hidden="false"/>
    </xf>
    <xf numFmtId="164" fontId="11" fillId="5" borderId="2" xfId="26" applyFont="true" applyBorder="true" applyAlignment="true" applyProtection="true">
      <alignment horizontal="left" vertical="bottom" textRotation="0" wrapText="true" indent="0" shrinkToFit="false"/>
      <protection locked="true" hidden="false"/>
    </xf>
    <xf numFmtId="170" fontId="22" fillId="5" borderId="2" xfId="26" applyFont="true" applyBorder="true" applyAlignment="true" applyProtection="true">
      <alignment horizontal="center" vertical="bottom" textRotation="0" wrapText="false" indent="0" shrinkToFit="false"/>
      <protection locked="true" hidden="false"/>
    </xf>
    <xf numFmtId="164" fontId="17" fillId="6" borderId="2" xfId="26" applyFont="true" applyBorder="true" applyAlignment="true" applyProtection="true">
      <alignment horizontal="center" vertical="bottom" textRotation="0" wrapText="false" indent="0" shrinkToFit="false"/>
      <protection locked="true" hidden="false"/>
    </xf>
    <xf numFmtId="169" fontId="13" fillId="5" borderId="2" xfId="26" applyFont="true" applyBorder="true" applyAlignment="true" applyProtection="true">
      <alignment horizontal="center" vertical="bottom" textRotation="0" wrapText="false" indent="0" shrinkToFit="false"/>
      <protection locked="true" hidden="false"/>
    </xf>
    <xf numFmtId="164" fontId="22" fillId="4" borderId="2" xfId="26" applyFont="true" applyBorder="true" applyAlignment="true" applyProtection="false">
      <alignment horizontal="left" vertical="center" textRotation="0" wrapText="true" indent="0" shrinkToFit="false"/>
      <protection locked="true" hidden="false"/>
    </xf>
    <xf numFmtId="164" fontId="13" fillId="4" borderId="2" xfId="26" applyFont="true" applyBorder="true" applyAlignment="true" applyProtection="false">
      <alignment horizontal="left" vertical="bottom" textRotation="0" wrapText="true" indent="0" shrinkToFit="false"/>
      <protection locked="true" hidden="false"/>
    </xf>
    <xf numFmtId="164" fontId="22" fillId="4" borderId="2" xfId="26" applyFont="true" applyBorder="true" applyAlignment="true" applyProtection="false">
      <alignment horizontal="center" vertical="center" textRotation="0" wrapText="false" indent="0" shrinkToFit="false"/>
      <protection locked="true" hidden="false"/>
    </xf>
    <xf numFmtId="167" fontId="14" fillId="4" borderId="2" xfId="26" applyFont="true" applyBorder="true" applyAlignment="true" applyProtection="true">
      <alignment horizontal="center" vertical="bottom" textRotation="0" wrapText="true" indent="0" shrinkToFit="false"/>
      <protection locked="false" hidden="false"/>
    </xf>
    <xf numFmtId="171" fontId="27" fillId="4" borderId="2" xfId="26" applyFont="true" applyBorder="true" applyAlignment="true" applyProtection="true">
      <alignment horizontal="center" vertical="bottom" textRotation="0" wrapText="false" indent="0" shrinkToFit="false"/>
      <protection locked="true" hidden="false"/>
    </xf>
    <xf numFmtId="164" fontId="11" fillId="4" borderId="2" xfId="26" applyFont="true" applyBorder="true" applyAlignment="true" applyProtection="false">
      <alignment horizontal="left" vertical="center" textRotation="0" wrapText="false" indent="0" shrinkToFit="false"/>
      <protection locked="true" hidden="false"/>
    </xf>
    <xf numFmtId="171" fontId="13" fillId="4" borderId="2" xfId="26" applyFont="true" applyBorder="true" applyAlignment="true" applyProtection="true">
      <alignment horizontal="center" vertical="bottom" textRotation="0" wrapText="false" indent="0" shrinkToFit="false"/>
      <protection locked="true" hidden="false"/>
    </xf>
    <xf numFmtId="164" fontId="11" fillId="4" borderId="2" xfId="26" applyFont="true" applyBorder="true" applyAlignment="true" applyProtection="false">
      <alignment horizontal="left" vertical="center" textRotation="0" wrapText="true" indent="0" shrinkToFit="false"/>
      <protection locked="true" hidden="false"/>
    </xf>
    <xf numFmtId="164" fontId="13" fillId="4" borderId="2" xfId="26" applyFont="true" applyBorder="true" applyAlignment="true" applyProtection="false">
      <alignment horizontal="center" vertical="center" textRotation="0" wrapText="false" indent="0" shrinkToFit="false"/>
      <protection locked="true" hidden="false"/>
    </xf>
    <xf numFmtId="171" fontId="29" fillId="4" borderId="2" xfId="26" applyFont="true" applyBorder="true" applyAlignment="true" applyProtection="true">
      <alignment horizontal="center" vertical="bottom" textRotation="0" wrapText="false" indent="0" shrinkToFit="false"/>
      <protection locked="true" hidden="false"/>
    </xf>
    <xf numFmtId="164" fontId="22" fillId="4" borderId="2" xfId="26" applyFont="true" applyBorder="true" applyAlignment="true" applyProtection="false">
      <alignment horizontal="left" vertical="bottom" textRotation="0" wrapText="true" indent="0" shrinkToFit="false"/>
      <protection locked="true" hidden="false"/>
    </xf>
    <xf numFmtId="171" fontId="30" fillId="4" borderId="2" xfId="26" applyFont="true" applyBorder="true" applyAlignment="true" applyProtection="true">
      <alignment horizontal="center" vertical="bottom" textRotation="0" wrapText="false" indent="0" shrinkToFit="false"/>
      <protection locked="true" hidden="false"/>
    </xf>
    <xf numFmtId="169" fontId="30" fillId="4" borderId="2" xfId="26" applyFont="true" applyBorder="true" applyAlignment="true" applyProtection="true">
      <alignment horizontal="center" vertical="bottom" textRotation="0" wrapText="false" indent="0" shrinkToFit="false"/>
      <protection locked="true" hidden="false"/>
    </xf>
    <xf numFmtId="167" fontId="17" fillId="6" borderId="2" xfId="26" applyFont="true" applyBorder="true" applyAlignment="true" applyProtection="true">
      <alignment horizontal="center" vertical="bottom" textRotation="0" wrapText="true" indent="0" shrinkToFit="false"/>
      <protection locked="false" hidden="false"/>
    </xf>
    <xf numFmtId="169" fontId="23" fillId="4" borderId="2" xfId="26" applyFont="true" applyBorder="true" applyAlignment="true" applyProtection="false">
      <alignment horizontal="center" vertical="bottom" textRotation="0" wrapText="false" indent="0" shrinkToFit="false"/>
      <protection locked="true" hidden="false"/>
    </xf>
    <xf numFmtId="164" fontId="11" fillId="5" borderId="2" xfId="26" applyFont="true" applyBorder="true" applyAlignment="true" applyProtection="false">
      <alignment horizontal="left" vertical="center" textRotation="0" wrapText="true" indent="0" shrinkToFit="false"/>
      <protection locked="true" hidden="false"/>
    </xf>
    <xf numFmtId="170" fontId="22" fillId="5" borderId="2" xfId="26" applyFont="true" applyBorder="true" applyAlignment="true" applyProtection="false">
      <alignment horizontal="center" vertical="bottom" textRotation="0" wrapText="false" indent="0" shrinkToFit="false"/>
      <protection locked="true" hidden="false"/>
    </xf>
    <xf numFmtId="164" fontId="14" fillId="5" borderId="2" xfId="26" applyFont="true" applyBorder="true" applyAlignment="false" applyProtection="false">
      <alignment horizontal="general" vertical="bottom" textRotation="0" wrapText="false" indent="0" shrinkToFit="false"/>
      <protection locked="true" hidden="false"/>
    </xf>
    <xf numFmtId="169" fontId="22" fillId="5" borderId="2" xfId="26" applyFont="true" applyBorder="true" applyAlignment="true" applyProtection="true">
      <alignment horizontal="center" vertical="bottom" textRotation="0" wrapText="false" indent="0" shrinkToFit="false"/>
      <protection locked="true" hidden="false"/>
    </xf>
    <xf numFmtId="164" fontId="22" fillId="4" borderId="2" xfId="26" applyFont="true" applyBorder="true" applyAlignment="true" applyProtection="false">
      <alignment horizontal="left" vertical="bottom" textRotation="0" wrapText="false" indent="0" shrinkToFit="false"/>
      <protection locked="true" hidden="false"/>
    </xf>
    <xf numFmtId="164" fontId="22" fillId="4" borderId="2" xfId="26" applyFont="true" applyBorder="true" applyAlignment="true" applyProtection="false">
      <alignment horizontal="center" vertical="bottom" textRotation="0" wrapText="false" indent="0" shrinkToFit="false"/>
      <protection locked="true" hidden="false"/>
    </xf>
    <xf numFmtId="164" fontId="14" fillId="4" borderId="2" xfId="26" applyFont="true" applyBorder="true" applyAlignment="true" applyProtection="true">
      <alignment horizontal="center" vertical="bottom" textRotation="0" wrapText="true" indent="0" shrinkToFit="false"/>
      <protection locked="false" hidden="false"/>
    </xf>
    <xf numFmtId="169" fontId="22" fillId="4" borderId="2" xfId="26" applyFont="true" applyBorder="true" applyAlignment="true" applyProtection="true">
      <alignment horizontal="center" vertical="bottom" textRotation="0" wrapText="false" indent="0" shrinkToFit="false"/>
      <protection locked="true" hidden="false"/>
    </xf>
    <xf numFmtId="164" fontId="22" fillId="5" borderId="2" xfId="26" applyFont="true" applyBorder="true" applyAlignment="false" applyProtection="false">
      <alignment horizontal="general" vertical="bottom" textRotation="0" wrapText="false" indent="0" shrinkToFit="false"/>
      <protection locked="true" hidden="false"/>
    </xf>
    <xf numFmtId="170" fontId="13" fillId="5" borderId="2" xfId="26" applyFont="true" applyBorder="true" applyAlignment="true" applyProtection="false">
      <alignment horizontal="center" vertical="bottom" textRotation="0" wrapText="false" indent="0" shrinkToFit="false"/>
      <protection locked="true" hidden="false"/>
    </xf>
    <xf numFmtId="164" fontId="17" fillId="6" borderId="2" xfId="26" applyFont="true" applyBorder="true" applyAlignment="true" applyProtection="false">
      <alignment horizontal="center" vertical="bottom" textRotation="0" wrapText="true" indent="0" shrinkToFit="false"/>
      <protection locked="true" hidden="false"/>
    </xf>
    <xf numFmtId="164" fontId="11" fillId="8" borderId="2" xfId="26" applyFont="true" applyBorder="true" applyAlignment="false" applyProtection="false">
      <alignment horizontal="general" vertical="bottom" textRotation="0" wrapText="false" indent="0" shrinkToFit="false"/>
      <protection locked="true" hidden="false"/>
    </xf>
    <xf numFmtId="170" fontId="13" fillId="8" borderId="2" xfId="26" applyFont="true" applyBorder="true" applyAlignment="true" applyProtection="false">
      <alignment horizontal="center" vertical="bottom" textRotation="0" wrapText="false" indent="0" shrinkToFit="false"/>
      <protection locked="true" hidden="false"/>
    </xf>
    <xf numFmtId="164" fontId="22" fillId="8" borderId="2" xfId="26" applyFont="true" applyBorder="true" applyAlignment="true" applyProtection="true">
      <alignment horizontal="center" vertical="bottom" textRotation="0" wrapText="true" indent="0" shrinkToFit="false"/>
      <protection locked="false" hidden="false"/>
    </xf>
    <xf numFmtId="169" fontId="22" fillId="8" borderId="2" xfId="26" applyFont="true" applyBorder="true" applyAlignment="true" applyProtection="true">
      <alignment horizontal="center" vertical="bottom" textRotation="0" wrapText="false" indent="0" shrinkToFit="false"/>
      <protection locked="true" hidden="false"/>
    </xf>
    <xf numFmtId="170" fontId="31" fillId="4" borderId="2" xfId="26" applyFont="true" applyBorder="true" applyAlignment="true" applyProtection="true">
      <alignment horizontal="center" vertical="bottom" textRotation="0" wrapText="true" indent="0" shrinkToFit="false"/>
      <protection locked="false" hidden="false"/>
    </xf>
    <xf numFmtId="172" fontId="14" fillId="4" borderId="2" xfId="26" applyFont="true" applyBorder="true" applyAlignment="true" applyProtection="true">
      <alignment horizontal="center" vertical="bottom" textRotation="0" wrapText="true" indent="0" shrinkToFit="false"/>
      <protection locked="false" hidden="false"/>
    </xf>
    <xf numFmtId="164" fontId="22" fillId="8" borderId="2" xfId="26" applyFont="true" applyBorder="true" applyAlignment="true" applyProtection="false">
      <alignment horizontal="left" vertical="bottom" textRotation="0" wrapText="false" indent="0" shrinkToFit="false"/>
      <protection locked="true" hidden="false"/>
    </xf>
    <xf numFmtId="164" fontId="14" fillId="8" borderId="2" xfId="26" applyFont="true" applyBorder="true" applyAlignment="true" applyProtection="false">
      <alignment horizontal="left" vertical="bottom" textRotation="0" wrapText="true" indent="3" shrinkToFit="false"/>
      <protection locked="true" hidden="false"/>
    </xf>
    <xf numFmtId="164" fontId="14" fillId="8" borderId="2" xfId="26" applyFont="true" applyBorder="true" applyAlignment="true" applyProtection="false">
      <alignment horizontal="center" vertical="bottom" textRotation="0" wrapText="true" indent="0" shrinkToFit="false"/>
      <protection locked="true" hidden="false"/>
    </xf>
    <xf numFmtId="173" fontId="22" fillId="4" borderId="2" xfId="26" applyFont="true" applyBorder="true" applyAlignment="true" applyProtection="false">
      <alignment horizontal="center" vertical="bottom" textRotation="0" wrapText="false" indent="0" shrinkToFit="false"/>
      <protection locked="true" hidden="false"/>
    </xf>
    <xf numFmtId="169" fontId="14" fillId="4" borderId="2" xfId="26" applyFont="true" applyBorder="true" applyAlignment="true" applyProtection="true">
      <alignment horizontal="center" vertical="bottom" textRotation="0" wrapText="false" indent="0" shrinkToFit="false"/>
      <protection locked="true" hidden="false"/>
    </xf>
    <xf numFmtId="169" fontId="27" fillId="4" borderId="2" xfId="26" applyFont="true" applyBorder="true" applyAlignment="true" applyProtection="true">
      <alignment horizontal="center" vertical="bottom" textRotation="0" wrapText="false" indent="0" shrinkToFit="false"/>
      <protection locked="true" hidden="false"/>
    </xf>
    <xf numFmtId="164" fontId="14" fillId="8" borderId="2" xfId="26" applyFont="true" applyBorder="true" applyAlignment="true" applyProtection="true">
      <alignment horizontal="center" vertical="bottom" textRotation="0" wrapText="true" indent="0" shrinkToFit="false"/>
      <protection locked="false" hidden="false"/>
    </xf>
    <xf numFmtId="169" fontId="22" fillId="8" borderId="2" xfId="26" applyFont="true" applyBorder="true" applyAlignment="true" applyProtection="false">
      <alignment horizontal="center" vertical="bottom" textRotation="0" wrapText="false" indent="0" shrinkToFit="false"/>
      <protection locked="true" hidden="false"/>
    </xf>
    <xf numFmtId="174" fontId="22" fillId="4" borderId="2" xfId="26" applyFont="true" applyBorder="true" applyAlignment="true" applyProtection="false">
      <alignment horizontal="center" vertical="bottom" textRotation="0" wrapText="false" indent="0" shrinkToFit="false"/>
      <protection locked="true" hidden="false"/>
    </xf>
    <xf numFmtId="164" fontId="22" fillId="7" borderId="2" xfId="26" applyFont="true" applyBorder="true" applyAlignment="true" applyProtection="false">
      <alignment horizontal="left" vertical="bottom" textRotation="0" wrapText="false" indent="0" shrinkToFit="false"/>
      <protection locked="true" hidden="false"/>
    </xf>
    <xf numFmtId="169" fontId="14" fillId="4" borderId="2" xfId="26" applyFont="true" applyBorder="true" applyAlignment="true" applyProtection="true">
      <alignment horizontal="center" vertical="bottom" textRotation="0" wrapText="true" indent="0" shrinkToFit="false"/>
      <protection locked="false" hidden="false"/>
    </xf>
    <xf numFmtId="169" fontId="14" fillId="8" borderId="2" xfId="26" applyFont="true" applyBorder="true" applyAlignment="true" applyProtection="true">
      <alignment horizontal="center" vertical="bottom" textRotation="0" wrapText="true" indent="0" shrinkToFit="false"/>
      <protection locked="false" hidden="false"/>
    </xf>
    <xf numFmtId="164" fontId="22" fillId="8" borderId="2" xfId="26" applyFont="true" applyBorder="true" applyAlignment="false" applyProtection="false">
      <alignment horizontal="general" vertical="bottom" textRotation="0" wrapText="false" indent="0" shrinkToFit="false"/>
      <protection locked="true" hidden="false"/>
    </xf>
    <xf numFmtId="164" fontId="32" fillId="4" borderId="2" xfId="26" applyFont="true" applyBorder="true" applyAlignment="true" applyProtection="false">
      <alignment horizontal="left" vertical="center" textRotation="0" wrapText="false" indent="0" shrinkToFit="false"/>
      <protection locked="true" hidden="false"/>
    </xf>
    <xf numFmtId="164" fontId="33" fillId="4" borderId="2" xfId="26" applyFont="true" applyBorder="true" applyAlignment="true" applyProtection="false">
      <alignment horizontal="left" vertical="bottom" textRotation="0" wrapText="false" indent="0" shrinkToFit="false"/>
      <protection locked="true" hidden="false"/>
    </xf>
    <xf numFmtId="174" fontId="27" fillId="4" borderId="2" xfId="26" applyFont="true" applyBorder="true" applyAlignment="true" applyProtection="false">
      <alignment horizontal="center" vertical="bottom" textRotation="0" wrapText="false" indent="0" shrinkToFit="false"/>
      <protection locked="true" hidden="false"/>
    </xf>
    <xf numFmtId="164" fontId="33" fillId="5" borderId="2" xfId="26" applyFont="true" applyBorder="true" applyAlignment="true" applyProtection="false">
      <alignment horizontal="left" vertical="bottom" textRotation="0" wrapText="false" indent="0" shrinkToFit="false"/>
      <protection locked="true" hidden="false"/>
    </xf>
    <xf numFmtId="164" fontId="27" fillId="5" borderId="2" xfId="26" applyFont="true" applyBorder="true" applyAlignment="true" applyProtection="false">
      <alignment horizontal="left" vertical="bottom" textRotation="0" wrapText="false" indent="0" shrinkToFit="false"/>
      <protection locked="true" hidden="false"/>
    </xf>
    <xf numFmtId="164" fontId="27" fillId="5" borderId="2" xfId="26" applyFont="true" applyBorder="true" applyAlignment="true" applyProtection="false">
      <alignment horizontal="left" vertical="bottom" textRotation="0" wrapText="true" indent="3" shrinkToFit="false"/>
      <protection locked="true" hidden="false"/>
    </xf>
    <xf numFmtId="175" fontId="14" fillId="6" borderId="2" xfId="26" applyFont="true" applyBorder="true" applyAlignment="true" applyProtection="true">
      <alignment horizontal="center" vertical="bottom" textRotation="0" wrapText="false" indent="0" shrinkToFit="false"/>
      <protection locked="false" hidden="false"/>
    </xf>
    <xf numFmtId="164" fontId="22" fillId="8" borderId="2" xfId="26" applyFont="true" applyBorder="true" applyAlignment="true" applyProtection="false">
      <alignment horizontal="left" vertical="bottom" textRotation="0" wrapText="true" indent="1" shrinkToFit="false"/>
      <protection locked="true" hidden="false"/>
    </xf>
    <xf numFmtId="164" fontId="22" fillId="4" borderId="2" xfId="26" applyFont="true" applyBorder="true" applyAlignment="true" applyProtection="false">
      <alignment horizontal="general" vertical="bottom" textRotation="0" wrapText="false" indent="0" shrinkToFit="false"/>
      <protection locked="true" hidden="false"/>
    </xf>
    <xf numFmtId="169" fontId="22" fillId="4" borderId="2" xfId="26" applyFont="true" applyBorder="true" applyAlignment="true" applyProtection="false">
      <alignment horizontal="center" vertical="bottom" textRotation="0" wrapText="false" indent="0" shrinkToFit="false"/>
      <protection locked="true" hidden="false"/>
    </xf>
    <xf numFmtId="164" fontId="21" fillId="5" borderId="2" xfId="26" applyFont="true" applyBorder="true" applyAlignment="true" applyProtection="false">
      <alignment horizontal="left" vertical="center" textRotation="0" wrapText="true" indent="0" shrinkToFit="false"/>
      <protection locked="true" hidden="false"/>
    </xf>
    <xf numFmtId="170" fontId="20" fillId="5" borderId="2" xfId="26" applyFont="true" applyBorder="true" applyAlignment="true" applyProtection="false">
      <alignment horizontal="center" vertical="bottom" textRotation="0" wrapText="false" indent="0" shrinkToFit="false"/>
      <protection locked="true" hidden="false"/>
    </xf>
    <xf numFmtId="164" fontId="17" fillId="6" borderId="2" xfId="26" applyFont="true" applyBorder="true" applyAlignment="true" applyProtection="false">
      <alignment horizontal="center" vertical="bottom" textRotation="0" wrapText="false" indent="0" shrinkToFit="false"/>
      <protection locked="true" hidden="false"/>
    </xf>
    <xf numFmtId="169" fontId="20" fillId="5" borderId="2" xfId="26" applyFont="true" applyBorder="true" applyAlignment="true" applyProtection="false">
      <alignment horizontal="center" vertical="bottom" textRotation="0" wrapText="false" indent="0" shrinkToFit="false"/>
      <protection locked="true" hidden="false"/>
    </xf>
    <xf numFmtId="164" fontId="17" fillId="10" borderId="2" xfId="26" applyFont="true" applyBorder="true" applyAlignment="true" applyProtection="false">
      <alignment horizontal="left" vertical="bottom" textRotation="0" wrapText="false" indent="0" shrinkToFit="false"/>
      <protection locked="true" hidden="false"/>
    </xf>
    <xf numFmtId="164" fontId="13" fillId="10" borderId="2" xfId="26" applyFont="true" applyBorder="true" applyAlignment="true" applyProtection="false">
      <alignment horizontal="center" vertical="bottom" textRotation="0" wrapText="true" indent="0" shrinkToFit="false"/>
      <protection locked="true" hidden="false"/>
    </xf>
    <xf numFmtId="164" fontId="17" fillId="10" borderId="2" xfId="26" applyFont="true" applyBorder="true" applyAlignment="true" applyProtection="false">
      <alignment horizontal="center" vertical="bottom" textRotation="0" wrapText="true" indent="0" shrinkToFit="false"/>
      <protection locked="true" hidden="false"/>
    </xf>
    <xf numFmtId="164" fontId="29" fillId="10" borderId="2" xfId="26" applyFont="true" applyBorder="true" applyAlignment="true" applyProtection="false">
      <alignment horizontal="left" vertical="bottom" textRotation="0" wrapText="false" indent="0" shrinkToFit="false"/>
      <protection locked="true" hidden="false"/>
    </xf>
    <xf numFmtId="164" fontId="29" fillId="10" borderId="2" xfId="26" applyFont="true" applyBorder="true" applyAlignment="true" applyProtection="false">
      <alignment horizontal="center" vertical="bottom" textRotation="0" wrapText="true" indent="0" shrinkToFit="false"/>
      <protection locked="true" hidden="false"/>
    </xf>
    <xf numFmtId="167" fontId="33" fillId="10" borderId="2" xfId="26" applyFont="true" applyBorder="true" applyAlignment="true" applyProtection="false">
      <alignment horizontal="center" vertical="bottom" textRotation="0" wrapText="true" indent="0" shrinkToFit="false"/>
      <protection locked="true" hidden="false"/>
    </xf>
    <xf numFmtId="167" fontId="17" fillId="10" borderId="2" xfId="26" applyFont="true" applyBorder="true" applyAlignment="true" applyProtection="false">
      <alignment horizontal="center" vertical="bottom" textRotation="0" wrapText="true" indent="0" shrinkToFit="false"/>
      <protection locked="true" hidden="false"/>
    </xf>
    <xf numFmtId="164" fontId="11" fillId="5" borderId="2" xfId="26" applyFont="true" applyBorder="true" applyAlignment="true" applyProtection="false">
      <alignment horizontal="left" vertical="bottom" textRotation="0" wrapText="false" indent="0" shrinkToFit="false"/>
      <protection locked="true" hidden="false"/>
    </xf>
    <xf numFmtId="164" fontId="31" fillId="4" borderId="2" xfId="26" applyFont="true" applyBorder="true" applyAlignment="true" applyProtection="true">
      <alignment horizontal="general" vertical="bottom" textRotation="0" wrapText="true" indent="0" shrinkToFit="false"/>
      <protection locked="false" hidden="false"/>
    </xf>
    <xf numFmtId="164" fontId="34" fillId="4" borderId="2" xfId="26" applyFont="true" applyBorder="true" applyAlignment="true" applyProtection="true">
      <alignment horizontal="left" vertical="bottom" textRotation="0" wrapText="true" indent="0" shrinkToFit="false"/>
      <protection locked="false" hidden="false"/>
    </xf>
    <xf numFmtId="164" fontId="35" fillId="5" borderId="2" xfId="26" applyFont="true" applyBorder="true" applyAlignment="true" applyProtection="true">
      <alignment horizontal="left" vertical="bottom" textRotation="0" wrapText="false" indent="0" shrinkToFit="false"/>
      <protection locked="true" hidden="false"/>
    </xf>
    <xf numFmtId="164" fontId="35" fillId="5" borderId="2" xfId="26" applyFont="true" applyBorder="true" applyAlignment="true" applyProtection="true">
      <alignment horizontal="center" vertical="bottom" textRotation="0" wrapText="false" indent="0" shrinkToFit="false"/>
      <protection locked="true" hidden="false"/>
    </xf>
    <xf numFmtId="164" fontId="18" fillId="4" borderId="2" xfId="26" applyFont="true" applyBorder="true" applyAlignment="true" applyProtection="true">
      <alignment horizontal="left" vertical="bottom" textRotation="0" wrapText="false" indent="0" shrinkToFit="false"/>
      <protection locked="false" hidden="false"/>
    </xf>
    <xf numFmtId="164" fontId="18" fillId="4" borderId="2" xfId="26" applyFont="true" applyBorder="true" applyAlignment="true" applyProtection="true">
      <alignment horizontal="center" vertical="bottom" textRotation="0" wrapText="false" indent="0" shrinkToFit="false"/>
      <protection locked="false" hidden="false"/>
    </xf>
    <xf numFmtId="168" fontId="18" fillId="4" borderId="2" xfId="26" applyFont="true" applyBorder="true" applyAlignment="true" applyProtection="true">
      <alignment horizontal="center" vertical="bottom" textRotation="0" wrapText="false" indent="0" shrinkToFit="false"/>
      <protection locked="false" hidden="false"/>
    </xf>
    <xf numFmtId="164" fontId="24" fillId="4" borderId="2" xfId="26" applyFont="true" applyBorder="true" applyAlignment="true" applyProtection="true">
      <alignment horizontal="center" vertical="bottom" textRotation="0" wrapText="false" indent="0" shrinkToFit="false"/>
      <protection locked="true" hidden="false"/>
    </xf>
    <xf numFmtId="164" fontId="36" fillId="0" borderId="0" xfId="26" applyFont="true" applyBorder="false" applyAlignment="false" applyProtection="false">
      <alignment horizontal="general" vertical="bottom" textRotation="0" wrapText="false" indent="0" shrinkToFit="false"/>
      <protection locked="true" hidden="false"/>
    </xf>
    <xf numFmtId="164" fontId="82" fillId="0" borderId="0" xfId="0" applyFont="true" applyBorder="false" applyAlignment="false" applyProtection="false">
      <alignment horizontal="general" vertical="bottom" textRotation="0" wrapText="false" indent="0" shrinkToFit="false"/>
      <protection locked="true" hidden="false"/>
    </xf>
    <xf numFmtId="164" fontId="83" fillId="0" borderId="2" xfId="0" applyFont="true" applyBorder="true" applyAlignment="true" applyProtection="false">
      <alignment horizontal="center" vertical="center" textRotation="0" wrapText="true" indent="0" shrinkToFit="false"/>
      <protection locked="true" hidden="false"/>
    </xf>
    <xf numFmtId="164" fontId="84" fillId="0" borderId="2" xfId="0" applyFont="true" applyBorder="true" applyAlignment="true" applyProtection="false">
      <alignment horizontal="center" vertical="center" textRotation="0" wrapText="true" indent="0" shrinkToFit="false"/>
      <protection locked="true" hidden="false"/>
    </xf>
    <xf numFmtId="164" fontId="85" fillId="0" borderId="2" xfId="0" applyFont="true" applyBorder="true" applyAlignment="true" applyProtection="false">
      <alignment horizontal="center" vertical="bottom" textRotation="0" wrapText="true" indent="0" shrinkToFit="false"/>
      <protection locked="true" hidden="false"/>
    </xf>
    <xf numFmtId="164" fontId="82" fillId="0" borderId="2" xfId="0" applyFont="true" applyBorder="true" applyAlignment="true" applyProtection="false">
      <alignment horizontal="general" vertical="center" textRotation="0" wrapText="true" indent="0" shrinkToFit="false"/>
      <protection locked="true" hidden="false"/>
    </xf>
    <xf numFmtId="164" fontId="84" fillId="0" borderId="2" xfId="0" applyFont="true" applyBorder="true" applyAlignment="true" applyProtection="false">
      <alignment horizontal="general" vertical="center" textRotation="0" wrapText="true" indent="0" shrinkToFit="false"/>
      <protection locked="true" hidden="false"/>
    </xf>
    <xf numFmtId="164" fontId="85" fillId="0" borderId="2" xfId="0" applyFont="true" applyBorder="true" applyAlignment="true" applyProtection="false">
      <alignment horizontal="center" vertical="center" textRotation="0" wrapText="false" indent="0" shrinkToFit="false"/>
      <protection locked="true" hidden="false"/>
    </xf>
    <xf numFmtId="170" fontId="82" fillId="0" borderId="2" xfId="0" applyFont="true" applyBorder="true" applyAlignment="true" applyProtection="false">
      <alignment horizontal="general" vertical="center" textRotation="0" wrapText="true" indent="0" shrinkToFit="false"/>
      <protection locked="true" hidden="false"/>
    </xf>
    <xf numFmtId="164" fontId="82" fillId="0" borderId="2" xfId="0" applyFont="true" applyBorder="true" applyAlignment="true" applyProtection="false">
      <alignment horizontal="left" vertical="center" textRotation="0" wrapText="true" indent="1" shrinkToFit="false"/>
      <protection locked="true" hidden="false"/>
    </xf>
    <xf numFmtId="176" fontId="82" fillId="0" borderId="2" xfId="0" applyFont="true" applyBorder="true" applyAlignment="true" applyProtection="false">
      <alignment horizontal="general" vertical="center" textRotation="0" wrapText="true" indent="0" shrinkToFit="false"/>
      <protection locked="true" hidden="false"/>
    </xf>
    <xf numFmtId="177" fontId="82" fillId="0" borderId="2" xfId="0" applyFont="true" applyBorder="true" applyAlignment="true" applyProtection="false">
      <alignment horizontal="general" vertical="center" textRotation="0" wrapText="true" indent="0" shrinkToFit="false"/>
      <protection locked="true" hidden="false"/>
    </xf>
    <xf numFmtId="178" fontId="82" fillId="0" borderId="2" xfId="0" applyFont="true" applyBorder="true" applyAlignment="true" applyProtection="false">
      <alignment horizontal="general" vertical="center" textRotation="0" wrapText="true" indent="0" shrinkToFit="false"/>
      <protection locked="true" hidden="false"/>
    </xf>
    <xf numFmtId="164" fontId="86" fillId="0" borderId="2" xfId="0" applyFont="true" applyBorder="true" applyAlignment="true" applyProtection="false">
      <alignment horizontal="center" vertical="center" textRotation="0" wrapText="true" indent="0" shrinkToFit="false"/>
      <protection locked="true" hidden="false"/>
    </xf>
    <xf numFmtId="170" fontId="86" fillId="0" borderId="2" xfId="0" applyFont="true" applyBorder="true" applyAlignment="true" applyProtection="false">
      <alignment horizontal="general" vertical="center" textRotation="0" wrapText="false" indent="0" shrinkToFit="false"/>
      <protection locked="true" hidden="false"/>
    </xf>
    <xf numFmtId="179" fontId="86" fillId="0" borderId="0" xfId="0" applyFont="true" applyBorder="false" applyAlignment="false" applyProtection="false">
      <alignment horizontal="general" vertical="bottom" textRotation="0" wrapText="false" indent="0" shrinkToFit="false"/>
      <protection locked="true" hidden="false"/>
    </xf>
    <xf numFmtId="164" fontId="87" fillId="0" borderId="2" xfId="0" applyFont="true" applyBorder="true" applyAlignment="true" applyProtection="false">
      <alignment horizontal="center" vertical="center" textRotation="0" wrapText="false" indent="0" shrinkToFit="false"/>
      <protection locked="true" hidden="false"/>
    </xf>
    <xf numFmtId="164" fontId="87" fillId="0" borderId="2" xfId="0" applyFont="true" applyBorder="true" applyAlignment="true" applyProtection="false">
      <alignment horizontal="center" vertical="center" textRotation="0" wrapText="true" indent="0" shrinkToFit="false"/>
      <protection locked="true" hidden="false"/>
    </xf>
    <xf numFmtId="164" fontId="86" fillId="0" borderId="2" xfId="0" applyFont="true" applyBorder="true" applyAlignment="true" applyProtection="false">
      <alignment horizontal="left" vertical="center" textRotation="0" wrapText="true" indent="0" shrinkToFit="false"/>
      <protection locked="true" hidden="false"/>
    </xf>
    <xf numFmtId="170" fontId="86" fillId="0" borderId="2" xfId="0" applyFont="true" applyBorder="true" applyAlignment="true" applyProtection="false">
      <alignment horizontal="right" vertical="center" textRotation="0" wrapText="true" indent="0" shrinkToFit="false"/>
      <protection locked="true" hidden="false"/>
    </xf>
    <xf numFmtId="164" fontId="88" fillId="0" borderId="2" xfId="0" applyFont="true" applyBorder="true" applyAlignment="true" applyProtection="false">
      <alignment horizontal="center" vertical="center" textRotation="0" wrapText="true" indent="0" shrinkToFit="false"/>
      <protection locked="true" hidden="false"/>
    </xf>
    <xf numFmtId="164" fontId="89" fillId="0" borderId="2" xfId="0" applyFont="true" applyBorder="true" applyAlignment="true" applyProtection="false">
      <alignment horizontal="center" vertical="center" textRotation="0" wrapText="true" indent="0" shrinkToFit="false"/>
      <protection locked="true" hidden="false"/>
    </xf>
    <xf numFmtId="170" fontId="89" fillId="0" borderId="2" xfId="0" applyFont="true" applyBorder="true" applyAlignment="true" applyProtection="false">
      <alignment horizontal="general" vertical="center" textRotation="0" wrapText="tru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90" fillId="0" borderId="0" xfId="0" applyFont="true" applyBorder="true" applyAlignment="true" applyProtection="false">
      <alignment horizontal="center" vertical="center" textRotation="0" wrapText="true" indent="0" shrinkToFit="false"/>
      <protection locked="true" hidden="false"/>
    </xf>
    <xf numFmtId="164" fontId="91" fillId="0" borderId="2" xfId="0" applyFont="true" applyBorder="true" applyAlignment="true" applyProtection="false">
      <alignment horizontal="left" vertical="center" textRotation="0" wrapText="true" indent="1" shrinkToFit="false"/>
      <protection locked="true" hidden="false"/>
    </xf>
    <xf numFmtId="164" fontId="90" fillId="0" borderId="2" xfId="0" applyFont="true" applyBorder="true" applyAlignment="true" applyProtection="false">
      <alignment horizontal="left" vertical="center" textRotation="0" wrapText="true" indent="1" shrinkToFit="false"/>
      <protection locked="true" hidden="false"/>
    </xf>
    <xf numFmtId="164" fontId="90" fillId="0" borderId="2" xfId="0" applyFont="true" applyBorder="true" applyAlignment="true" applyProtection="false">
      <alignment horizontal="left" vertical="center" textRotation="0" wrapText="true" indent="1" shrinkToFit="false"/>
      <protection locked="true" hidden="false"/>
    </xf>
    <xf numFmtId="164" fontId="92" fillId="0" borderId="2" xfId="0" applyFont="true" applyBorder="true" applyAlignment="true" applyProtection="false">
      <alignment horizontal="left" vertical="center" textRotation="0" wrapText="true" indent="1" shrinkToFit="false"/>
      <protection locked="true" hidden="false"/>
    </xf>
    <xf numFmtId="164" fontId="92" fillId="0" borderId="2" xfId="0" applyFont="true" applyBorder="true" applyAlignment="true" applyProtection="false">
      <alignment horizontal="general" vertical="center" textRotation="0" wrapText="true" indent="0" shrinkToFit="false"/>
      <protection locked="true" hidden="false"/>
    </xf>
    <xf numFmtId="170" fontId="92" fillId="0" borderId="2" xfId="0" applyFont="true" applyBorder="true" applyAlignment="true" applyProtection="false">
      <alignment horizontal="left" vertical="center" textRotation="0" wrapText="true" indent="1" shrinkToFit="false"/>
      <protection locked="true" hidden="false"/>
    </xf>
    <xf numFmtId="164" fontId="90" fillId="0" borderId="0" xfId="0" applyFont="true" applyBorder="true" applyAlignment="true" applyProtection="false">
      <alignment horizontal="left" vertical="center" textRotation="0" wrapText="true" indent="3" shrinkToFit="false"/>
      <protection locked="true" hidden="false"/>
    </xf>
    <xf numFmtId="164" fontId="93" fillId="0" borderId="0" xfId="0" applyFont="true" applyBorder="false" applyAlignment="true" applyProtection="false">
      <alignment horizontal="left" vertical="center" textRotation="0" wrapText="true" indent="1" shrinkToFit="false"/>
      <protection locked="true" hidden="false"/>
    </xf>
    <xf numFmtId="170" fontId="93" fillId="0" borderId="0" xfId="0" applyFont="true" applyBorder="false" applyAlignment="true" applyProtection="false">
      <alignment horizontal="left" vertical="center" textRotation="0" wrapText="true" indent="1" shrinkToFit="false"/>
      <protection locked="true" hidden="false"/>
    </xf>
    <xf numFmtId="164" fontId="94" fillId="0" borderId="0" xfId="0" applyFont="true" applyBorder="false" applyAlignment="false" applyProtection="false">
      <alignment horizontal="general" vertical="bottom" textRotation="0" wrapText="false" indent="0" shrinkToFit="false"/>
      <protection locked="true" hidden="false"/>
    </xf>
    <xf numFmtId="164" fontId="90" fillId="0" borderId="2" xfId="0" applyFont="true" applyBorder="true" applyAlignment="true" applyProtection="false">
      <alignment horizontal="left" vertical="center" textRotation="0" wrapText="true" indent="2" shrinkToFit="false"/>
      <protection locked="true" hidden="false"/>
    </xf>
    <xf numFmtId="164" fontId="90" fillId="0" borderId="2" xfId="0" applyFont="true" applyBorder="true" applyAlignment="true" applyProtection="false">
      <alignment horizontal="center" vertical="center" textRotation="0" wrapText="true" indent="0" shrinkToFit="false"/>
      <protection locked="true" hidden="false"/>
    </xf>
    <xf numFmtId="164" fontId="95" fillId="0" borderId="2" xfId="0" applyFont="true" applyBorder="true" applyAlignment="true" applyProtection="false">
      <alignment horizontal="center" vertical="center" textRotation="0" wrapText="true" indent="0" shrinkToFit="false"/>
      <protection locked="true" hidden="false"/>
    </xf>
    <xf numFmtId="164" fontId="95" fillId="0" borderId="2" xfId="0" applyFont="true" applyBorder="true" applyAlignment="true" applyProtection="false">
      <alignment horizontal="center" vertical="bottom" textRotation="0" wrapText="true" indent="0" shrinkToFit="false"/>
      <protection locked="true" hidden="false"/>
    </xf>
    <xf numFmtId="164" fontId="94" fillId="0" borderId="2" xfId="0" applyFont="true" applyBorder="true" applyAlignment="false" applyProtection="false">
      <alignment horizontal="general" vertical="bottom" textRotation="0" wrapText="false" indent="0" shrinkToFit="false"/>
      <protection locked="true" hidden="false"/>
    </xf>
    <xf numFmtId="164" fontId="92" fillId="0" borderId="2" xfId="0" applyFont="true" applyBorder="true" applyAlignment="true" applyProtection="false">
      <alignment horizontal="left" vertical="center" textRotation="0" wrapText="true" indent="2" shrinkToFit="false"/>
      <protection locked="true" hidden="false"/>
    </xf>
    <xf numFmtId="170" fontId="92" fillId="0" borderId="2" xfId="0" applyFont="true" applyBorder="true" applyAlignment="true" applyProtection="false">
      <alignment horizontal="center" vertical="center" textRotation="0" wrapText="true" indent="0" shrinkToFit="false"/>
      <protection locked="true" hidden="false"/>
    </xf>
    <xf numFmtId="164" fontId="92" fillId="0" borderId="2" xfId="0" applyFont="true" applyBorder="true" applyAlignment="true" applyProtection="false">
      <alignment horizontal="left" vertical="center" textRotation="0" wrapText="true" indent="0" shrinkToFit="false"/>
      <protection locked="true" hidden="false"/>
    </xf>
    <xf numFmtId="170" fontId="92" fillId="0" borderId="2" xfId="0" applyFont="true" applyBorder="true" applyAlignment="true" applyProtection="false">
      <alignment horizontal="left" vertical="center" textRotation="0" wrapText="true" indent="2" shrinkToFit="false"/>
      <protection locked="true" hidden="false"/>
    </xf>
    <xf numFmtId="164" fontId="95" fillId="0" borderId="2" xfId="0" applyFont="true" applyBorder="true" applyAlignment="true" applyProtection="false">
      <alignment horizontal="center" vertical="center" textRotation="0" wrapText="false" indent="0" shrinkToFit="false"/>
      <protection locked="true" hidden="false"/>
    </xf>
    <xf numFmtId="164" fontId="95" fillId="0" borderId="2" xfId="0" applyFont="true" applyBorder="true" applyAlignment="true" applyProtection="false">
      <alignment horizontal="general" vertical="center" textRotation="0" wrapText="true" indent="0" shrinkToFit="false"/>
      <protection locked="true" hidden="false"/>
    </xf>
    <xf numFmtId="170" fontId="92" fillId="0" borderId="2" xfId="19" applyFont="true" applyBorder="true" applyAlignment="true" applyProtection="true">
      <alignment horizontal="center" vertical="center" textRotation="0" wrapText="true" indent="0" shrinkToFit="false"/>
      <protection locked="true" hidden="false"/>
    </xf>
    <xf numFmtId="170" fontId="92" fillId="0" borderId="2" xfId="19" applyFont="true" applyBorder="true" applyAlignment="true" applyProtection="true">
      <alignment horizontal="left" vertical="center" textRotation="0" wrapText="true" indent="2" shrinkToFit="false"/>
      <protection locked="true" hidden="false"/>
    </xf>
    <xf numFmtId="164" fontId="96" fillId="0" borderId="2" xfId="0" applyFont="true" applyBorder="true" applyAlignment="true" applyProtection="false">
      <alignment horizontal="left" vertical="center" textRotation="0" wrapText="true" indent="1" shrinkToFit="false"/>
      <protection locked="true" hidden="false"/>
    </xf>
    <xf numFmtId="170" fontId="92" fillId="0" borderId="2" xfId="19" applyFont="true" applyBorder="true" applyAlignment="true" applyProtection="true">
      <alignment horizontal="left" vertical="center" textRotation="0" wrapText="true" indent="1" shrinkToFit="false"/>
      <protection locked="true" hidden="false"/>
    </xf>
    <xf numFmtId="164" fontId="90" fillId="0" borderId="2" xfId="0" applyFont="true" applyBorder="true" applyAlignment="true" applyProtection="false">
      <alignment horizontal="left" vertical="center" textRotation="0" wrapText="true" indent="0" shrinkToFit="false"/>
      <protection locked="true" hidden="false"/>
    </xf>
    <xf numFmtId="164" fontId="94" fillId="0" borderId="2" xfId="0" applyFont="true" applyBorder="true" applyAlignment="true" applyProtection="false">
      <alignment horizontal="center" vertical="center" textRotation="0" wrapText="true" indent="0" shrinkToFit="false"/>
      <protection locked="true" hidden="false"/>
    </xf>
    <xf numFmtId="176" fontId="92" fillId="0" borderId="2" xfId="0" applyFont="true" applyBorder="true" applyAlignment="true" applyProtection="false">
      <alignment horizontal="left" vertical="center" textRotation="0" wrapText="true" indent="0" shrinkToFit="false"/>
      <protection locked="true" hidden="false"/>
    </xf>
    <xf numFmtId="170" fontId="92" fillId="0" borderId="2" xfId="0" applyFont="true" applyBorder="true" applyAlignment="true" applyProtection="false">
      <alignment horizontal="left" vertical="center" textRotation="0" wrapText="true" indent="0" shrinkToFit="false"/>
      <protection locked="true" hidden="false"/>
    </xf>
    <xf numFmtId="164" fontId="95" fillId="0" borderId="2" xfId="0" applyFont="true" applyBorder="true" applyAlignment="false" applyProtection="false">
      <alignment horizontal="general" vertical="bottom" textRotation="0" wrapText="false" indent="0" shrinkToFit="false"/>
      <protection locked="true" hidden="false"/>
    </xf>
    <xf numFmtId="164" fontId="92" fillId="0" borderId="2" xfId="0" applyFont="true" applyBorder="true" applyAlignment="true" applyProtection="false">
      <alignment horizontal="center" vertical="center" textRotation="0" wrapText="true" indent="0" shrinkToFit="false"/>
      <protection locked="true" hidden="false"/>
    </xf>
    <xf numFmtId="164" fontId="97" fillId="0" borderId="0" xfId="0" applyFont="true" applyBorder="false" applyAlignment="false" applyProtection="false">
      <alignment horizontal="general" vertical="bottom" textRotation="0" wrapText="false" indent="0" shrinkToFit="false"/>
      <protection locked="true" hidden="false"/>
    </xf>
    <xf numFmtId="176" fontId="97" fillId="0" borderId="0" xfId="0" applyFont="true" applyBorder="false" applyAlignment="false" applyProtection="false">
      <alignment horizontal="general" vertical="bottom" textRotation="0" wrapText="false" indent="0" shrinkToFit="false"/>
      <protection locked="true" hidden="false"/>
    </xf>
    <xf numFmtId="164" fontId="98" fillId="0" borderId="2" xfId="0" applyFont="true" applyBorder="true" applyAlignment="true" applyProtection="false">
      <alignment horizontal="left" vertical="center" textRotation="0" wrapText="true" indent="0" shrinkToFit="false"/>
      <protection locked="true" hidden="false"/>
    </xf>
    <xf numFmtId="176" fontId="98" fillId="0" borderId="2" xfId="0" applyFont="true" applyBorder="true" applyAlignment="true" applyProtection="false">
      <alignment horizontal="left" vertical="center" textRotation="0" wrapText="true" indent="0" shrinkToFit="false"/>
      <protection locked="true" hidden="false"/>
    </xf>
    <xf numFmtId="164" fontId="99" fillId="0" borderId="0" xfId="0" applyFont="true" applyBorder="false" applyAlignment="true" applyProtection="false">
      <alignment horizontal="general" vertical="center" textRotation="0" wrapText="false" indent="0" shrinkToFit="false"/>
      <protection locked="true" hidden="false"/>
    </xf>
    <xf numFmtId="164" fontId="85" fillId="0" borderId="2" xfId="0" applyFont="true" applyBorder="true" applyAlignment="true" applyProtection="false">
      <alignment horizontal="general" vertical="bottom" textRotation="0" wrapText="false" indent="0" shrinkToFit="false"/>
      <protection locked="true" hidden="false"/>
    </xf>
    <xf numFmtId="164" fontId="85" fillId="0" borderId="2" xfId="0" applyFont="true" applyBorder="true" applyAlignment="true" applyProtection="false">
      <alignment horizontal="center" vertical="center" textRotation="0" wrapText="true" indent="0" shrinkToFit="false"/>
      <protection locked="true" hidden="false"/>
    </xf>
    <xf numFmtId="164" fontId="87"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false" applyBorder="true" applyAlignment="true" applyProtection="false">
      <alignment horizontal="general" vertical="center" textRotation="0" wrapText="true" indent="0" shrinkToFit="false"/>
      <protection locked="true" hidden="false"/>
    </xf>
    <xf numFmtId="164" fontId="100" fillId="0" borderId="2" xfId="0" applyFont="true" applyBorder="true" applyAlignment="true" applyProtection="false">
      <alignment horizontal="center" vertical="center" textRotation="0" wrapText="true" indent="0" shrinkToFit="false"/>
      <protection locked="true" hidden="false"/>
    </xf>
    <xf numFmtId="170" fontId="86" fillId="0" borderId="2" xfId="0" applyFont="true" applyBorder="true" applyAlignment="true" applyProtection="false">
      <alignment horizontal="general" vertical="center" textRotation="0" wrapText="true" indent="0" shrinkToFit="false"/>
      <protection locked="true" hidden="false"/>
    </xf>
    <xf numFmtId="164" fontId="101" fillId="0" borderId="2" xfId="0" applyFont="true" applyBorder="true" applyAlignment="true" applyProtection="false">
      <alignment horizontal="center" vertical="center" textRotation="0" wrapText="true" indent="0" shrinkToFit="false"/>
      <protection locked="true" hidden="false"/>
    </xf>
    <xf numFmtId="164" fontId="102" fillId="0" borderId="3" xfId="0" applyFont="true" applyBorder="true" applyAlignment="true" applyProtection="false">
      <alignment horizontal="general" vertical="center" textRotation="0" wrapText="true" indent="0" shrinkToFit="false"/>
      <protection locked="true" hidden="false"/>
    </xf>
    <xf numFmtId="164" fontId="86" fillId="0" borderId="2"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86" fillId="0" borderId="2" xfId="0" applyFont="true" applyBorder="true" applyAlignment="true" applyProtection="false">
      <alignment horizontal="left" vertical="center" textRotation="0" wrapText="true" indent="1"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90" fillId="0" borderId="2" xfId="0" applyFont="true" applyBorder="true" applyAlignment="true" applyProtection="false">
      <alignment horizontal="center" vertical="center" textRotation="0" wrapText="false" indent="0" shrinkToFit="false"/>
      <protection locked="true" hidden="false"/>
    </xf>
    <xf numFmtId="170" fontId="92" fillId="0" borderId="2" xfId="0" applyFont="true" applyBorder="true" applyAlignment="true" applyProtection="false">
      <alignment horizontal="general" vertical="center" textRotation="0" wrapText="true" indent="0" shrinkToFit="false"/>
      <protection locked="true" hidden="false"/>
    </xf>
    <xf numFmtId="164" fontId="96" fillId="0" borderId="2" xfId="0" applyFont="true" applyBorder="true" applyAlignment="true" applyProtection="false">
      <alignment horizontal="general" vertical="center" textRotation="0" wrapText="true" indent="0" shrinkToFit="false"/>
      <protection locked="true" hidden="false"/>
    </xf>
    <xf numFmtId="164" fontId="103" fillId="0" borderId="0" xfId="0" applyFont="true" applyBorder="false" applyAlignment="true" applyProtection="false">
      <alignment horizontal="general" vertical="center" textRotation="0" wrapText="false" indent="0" shrinkToFit="false"/>
      <protection locked="true" hidden="false"/>
    </xf>
    <xf numFmtId="164" fontId="85" fillId="0" borderId="4" xfId="0" applyFont="true" applyBorder="true" applyAlignment="true" applyProtection="false">
      <alignment horizontal="center" vertical="bottom" textRotation="0" wrapText="false" indent="0" shrinkToFit="false"/>
      <protection locked="true" hidden="false"/>
    </xf>
    <xf numFmtId="164" fontId="90" fillId="0" borderId="2" xfId="0" applyFont="true" applyBorder="true" applyAlignment="true" applyProtection="false">
      <alignment horizontal="general" vertical="center" textRotation="0" wrapText="true" indent="0" shrinkToFit="false"/>
      <protection locked="true" hidden="false"/>
    </xf>
    <xf numFmtId="164" fontId="92" fillId="0" borderId="2" xfId="0" applyFont="true" applyBorder="true" applyAlignment="true" applyProtection="false">
      <alignment horizontal="righ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85" fillId="0" borderId="2" xfId="0" applyFont="true" applyBorder="true" applyAlignment="true" applyProtection="false">
      <alignment horizontal="center" vertical="bottom" textRotation="90" wrapText="true" indent="0" shrinkToFit="false"/>
      <protection locked="true" hidden="false"/>
    </xf>
    <xf numFmtId="164" fontId="0" fillId="11" borderId="2" xfId="0" applyFont="true" applyBorder="true" applyAlignment="true" applyProtection="false">
      <alignment horizontal="general" vertical="center" textRotation="0" wrapText="true" indent="0" shrinkToFit="false"/>
      <protection locked="true" hidden="false"/>
    </xf>
    <xf numFmtId="164" fontId="87" fillId="0" borderId="2" xfId="0" applyFont="true" applyBorder="true" applyAlignment="true" applyProtection="false">
      <alignment horizontal="left" vertical="center" textRotation="0" wrapText="true" indent="3" shrinkToFit="false"/>
      <protection locked="true" hidden="false"/>
    </xf>
    <xf numFmtId="164" fontId="86" fillId="0" borderId="2" xfId="0" applyFont="true" applyBorder="true" applyAlignment="true" applyProtection="false">
      <alignment horizontal="left" vertical="center" textRotation="0" wrapText="true" indent="3" shrinkToFit="false"/>
      <protection locked="true" hidden="false"/>
    </xf>
    <xf numFmtId="164" fontId="86" fillId="0" borderId="2" xfId="0" applyFont="true" applyBorder="true" applyAlignment="true" applyProtection="false">
      <alignment horizontal="left" vertical="center" textRotation="0" wrapText="true" indent="5" shrinkToFit="false"/>
      <protection locked="true" hidden="false"/>
    </xf>
    <xf numFmtId="164" fontId="92" fillId="12" borderId="2" xfId="0" applyFont="true" applyBorder="true" applyAlignment="true" applyProtection="false">
      <alignment horizontal="general" vertical="center" textRotation="0" wrapText="true" indent="0" shrinkToFit="false"/>
      <protection locked="true" hidden="false"/>
    </xf>
    <xf numFmtId="164" fontId="92" fillId="12" borderId="5" xfId="0" applyFont="true" applyBorder="true" applyAlignment="true" applyProtection="false">
      <alignment horizontal="center" vertical="center" textRotation="0" wrapText="true" indent="0" shrinkToFit="false"/>
      <protection locked="true" hidden="false"/>
    </xf>
    <xf numFmtId="164" fontId="92" fillId="12" borderId="2" xfId="0" applyFont="true" applyBorder="true" applyAlignment="true" applyProtection="false">
      <alignment horizontal="center" vertical="center" textRotation="90" wrapText="true" indent="0" shrinkToFit="false"/>
      <protection locked="true" hidden="false"/>
    </xf>
    <xf numFmtId="164" fontId="92" fillId="13" borderId="2" xfId="0" applyFont="true" applyBorder="true" applyAlignment="true" applyProtection="false">
      <alignment horizontal="right" vertical="center" textRotation="0" wrapText="true" indent="0" shrinkToFit="false"/>
      <protection locked="true" hidden="false"/>
    </xf>
    <xf numFmtId="164" fontId="92" fillId="3" borderId="2" xfId="0" applyFont="true" applyBorder="true" applyAlignment="true" applyProtection="false">
      <alignment horizontal="right" vertical="center" textRotation="0" wrapText="tru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20% - Accent3 2" xfId="20"/>
    <cellStyle name="Calculation 2" xfId="21"/>
    <cellStyle name="Comma 2" xfId="22"/>
    <cellStyle name="Comma 3" xfId="23"/>
    <cellStyle name="Currency 2" xfId="24"/>
    <cellStyle name="Input 2" xfId="25"/>
    <cellStyle name="Normal 2" xfId="26"/>
    <cellStyle name="Normal 3" xfId="27"/>
    <cellStyle name="Normal 4"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AF1DD"/>
      <rgbColor rgb="FFCCFFFF"/>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F2F2F2"/>
      <rgbColor rgb="FFCCFFCC"/>
      <rgbColor rgb="FFFFFF99"/>
      <rgbColor rgb="FF9DC3E6"/>
      <rgbColor rgb="FFFF99CC"/>
      <rgbColor rgb="FFCC99FF"/>
      <rgbColor rgb="FFFFCC99"/>
      <rgbColor rgb="FF3366FF"/>
      <rgbColor rgb="FF33CCCC"/>
      <rgbColor rgb="FF99CC00"/>
      <rgbColor rgb="FFFFCC00"/>
      <rgbColor rgb="FFFF9900"/>
      <rgbColor rgb="FFFA7D00"/>
      <rgbColor rgb="FF666699"/>
      <rgbColor rgb="FF969696"/>
      <rgbColor rgb="FF003366"/>
      <rgbColor rgb="FF339966"/>
      <rgbColor rgb="FF003300"/>
      <rgbColor rgb="FF333300"/>
      <rgbColor rgb="FF993300"/>
      <rgbColor rgb="FF993366"/>
      <rgbColor rgb="FF333399"/>
      <rgbColor rgb="FF3F3F7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201960</xdr:colOff>
      <xdr:row>0</xdr:row>
      <xdr:rowOff>28440</xdr:rowOff>
    </xdr:from>
    <xdr:to>
      <xdr:col>4</xdr:col>
      <xdr:colOff>2140920</xdr:colOff>
      <xdr:row>1</xdr:row>
      <xdr:rowOff>77760</xdr:rowOff>
    </xdr:to>
    <xdr:pic>
      <xdr:nvPicPr>
        <xdr:cNvPr id="0" name="Picture 75" descr=""/>
        <xdr:cNvPicPr/>
      </xdr:nvPicPr>
      <xdr:blipFill>
        <a:blip r:embed="rId1"/>
        <a:stretch/>
      </xdr:blipFill>
      <xdr:spPr>
        <a:xfrm>
          <a:off x="9838080" y="28440"/>
          <a:ext cx="1938960" cy="201600"/>
        </a:xfrm>
        <a:prstGeom prst="rect">
          <a:avLst/>
        </a:prstGeom>
        <a:noFill/>
        <a:ln w="9525">
          <a:noFill/>
        </a:ln>
      </xdr:spPr>
    </xdr:pic>
    <xdr:clientData/>
  </xdr:twoCellAnchor>
  <xdr:twoCellAnchor editAs="twoCell">
    <xdr:from>
      <xdr:col>4</xdr:col>
      <xdr:colOff>247680</xdr:colOff>
      <xdr:row>1</xdr:row>
      <xdr:rowOff>28800</xdr:rowOff>
    </xdr:from>
    <xdr:to>
      <xdr:col>6</xdr:col>
      <xdr:colOff>605880</xdr:colOff>
      <xdr:row>1</xdr:row>
      <xdr:rowOff>47520</xdr:rowOff>
    </xdr:to>
    <xdr:pic>
      <xdr:nvPicPr>
        <xdr:cNvPr id="1" name="Picture 75" descr=""/>
        <xdr:cNvPicPr/>
      </xdr:nvPicPr>
      <xdr:blipFill>
        <a:blip r:embed="rId2"/>
        <a:stretch/>
      </xdr:blipFill>
      <xdr:spPr>
        <a:xfrm>
          <a:off x="9883800" y="181080"/>
          <a:ext cx="3638160" cy="18720"/>
        </a:xfrm>
        <a:prstGeom prst="rect">
          <a:avLst/>
        </a:prstGeom>
        <a:noFill/>
        <a:ln w="9525">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Users/dulat/Desktop/Final%20Credit%20Risk%20Rating/Previous%20Risk%20Grading.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Analysis"/>
      <sheetName val="Risk Grading"/>
      <sheetName val="Collateral"/>
      <sheetName val="Management"/>
      <sheetName val="CR inf"/>
      <sheetName val="WC Determination"/>
      <sheetName val="Acc"/>
      <sheetName val="OD Performance"/>
    </sheetNames>
    <sheetDataSet>
      <sheetData sheetId="0">
        <row r="69">
          <cell r="B69">
            <v>0.963473705754287</v>
          </cell>
          <cell r="C69">
            <v>1.86706413756874</v>
          </cell>
          <cell r="D69">
            <v>0.986329626073299</v>
          </cell>
        </row>
        <row r="71">
          <cell r="B71">
            <v>0.829449817690485</v>
          </cell>
          <cell r="C71">
            <v>0.659788648625033</v>
          </cell>
          <cell r="D71">
            <v>0.662539582078488</v>
          </cell>
        </row>
        <row r="81">
          <cell r="F81">
            <v>0.059070990525392</v>
          </cell>
        </row>
        <row r="82">
          <cell r="F82">
            <v>0.914849834359377</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E122"/>
  <sheetViews>
    <sheetView showFormulas="false" showGridLines="true" showRowColHeaders="true" showZeros="true" rightToLeft="false" tabSelected="false" showOutlineSymbols="true" defaultGridColor="true" view="normal" topLeftCell="A10" colorId="64" zoomScale="73" zoomScaleNormal="73" zoomScalePageLayoutView="100" workbookViewId="0">
      <selection pane="topLeft" activeCell="A70" activeCellId="0" sqref="A70"/>
    </sheetView>
  </sheetViews>
  <sheetFormatPr defaultColWidth="9.08984375" defaultRowHeight="12" customHeight="true" zeroHeight="false" outlineLevelRow="0" outlineLevelCol="0"/>
  <cols>
    <col collapsed="false" customWidth="true" hidden="false" outlineLevel="0" max="1" min="1" style="1" width="39.09"/>
    <col collapsed="false" customWidth="true" hidden="false" outlineLevel="0" max="2" min="2" style="1" width="33.9"/>
    <col collapsed="false" customWidth="true" hidden="false" outlineLevel="0" max="3" min="3" style="1" width="22.54"/>
    <col collapsed="false" customWidth="true" hidden="false" outlineLevel="0" max="4" min="4" style="1" width="24.9"/>
    <col collapsed="false" customWidth="true" hidden="false" outlineLevel="0" max="5" min="5" style="1" width="31.91"/>
    <col collapsed="false" customWidth="false" hidden="false" outlineLevel="0" max="16384" min="6" style="1" width="9.09"/>
  </cols>
  <sheetData>
    <row r="1" customFormat="false" ht="12" hidden="false" customHeight="false" outlineLevel="0" collapsed="false">
      <c r="A1" s="2" t="s">
        <v>0</v>
      </c>
      <c r="B1" s="2"/>
      <c r="C1" s="2"/>
      <c r="D1" s="2"/>
      <c r="E1" s="3"/>
    </row>
    <row r="2" customFormat="false" ht="12" hidden="false" customHeight="false" outlineLevel="0" collapsed="false">
      <c r="A2" s="2" t="s">
        <v>1</v>
      </c>
      <c r="B2" s="2"/>
      <c r="C2" s="2"/>
      <c r="D2" s="2"/>
      <c r="E2" s="3"/>
    </row>
    <row r="3" customFormat="false" ht="12" hidden="false" customHeight="false" outlineLevel="0" collapsed="false">
      <c r="A3" s="4" t="s">
        <v>2</v>
      </c>
      <c r="B3" s="5"/>
      <c r="C3" s="5"/>
      <c r="D3" s="5"/>
      <c r="E3" s="5"/>
    </row>
    <row r="4" customFormat="false" ht="12" hidden="false" customHeight="true" outlineLevel="0" collapsed="false">
      <c r="A4" s="6" t="s">
        <v>3</v>
      </c>
      <c r="B4" s="7" t="s">
        <v>4</v>
      </c>
      <c r="C4" s="7"/>
      <c r="D4" s="5" t="s">
        <v>5</v>
      </c>
      <c r="E4" s="8" t="s">
        <v>6</v>
      </c>
    </row>
    <row r="5" customFormat="false" ht="12.75" hidden="false" customHeight="true" outlineLevel="0" collapsed="false">
      <c r="A5" s="6" t="s">
        <v>7</v>
      </c>
      <c r="B5" s="7"/>
      <c r="C5" s="7"/>
      <c r="D5" s="7"/>
      <c r="E5" s="8"/>
    </row>
    <row r="6" customFormat="false" ht="12" hidden="false" customHeight="false" outlineLevel="0" collapsed="false">
      <c r="A6" s="6" t="s">
        <v>8</v>
      </c>
      <c r="B6" s="9" t="s">
        <v>9</v>
      </c>
      <c r="C6" s="9"/>
      <c r="D6" s="9"/>
      <c r="E6" s="10"/>
    </row>
    <row r="7" customFormat="false" ht="12" hidden="false" customHeight="false" outlineLevel="0" collapsed="false">
      <c r="A7" s="6" t="s">
        <v>10</v>
      </c>
      <c r="B7" s="11" t="s">
        <v>11</v>
      </c>
      <c r="C7" s="12" t="str">
        <f aca="false">IF(B7="MANUFACTURING",".",IF(B7="IMPORT/DTS",".",IF(B7="EXPORT",".",IF(B7="AGRICULTURE",".",IF(B7="CONSTRUCTION AND MACHINERY",".","")))))</f>
        <v/>
      </c>
      <c r="D7" s="12"/>
      <c r="E7" s="9"/>
    </row>
    <row r="8" customFormat="false" ht="12" hidden="false" customHeight="false" outlineLevel="0" collapsed="false">
      <c r="A8" s="6" t="s">
        <v>12</v>
      </c>
      <c r="B8" s="9" t="s">
        <v>13</v>
      </c>
      <c r="C8" s="13" t="s">
        <v>14</v>
      </c>
      <c r="D8" s="9" t="s">
        <v>15</v>
      </c>
      <c r="E8" s="9"/>
    </row>
    <row r="9" customFormat="false" ht="12" hidden="false" customHeight="false" outlineLevel="0" collapsed="false">
      <c r="A9" s="6" t="s">
        <v>16</v>
      </c>
      <c r="B9" s="14"/>
      <c r="C9" s="13" t="s">
        <v>17</v>
      </c>
      <c r="D9" s="9"/>
      <c r="E9" s="15"/>
    </row>
    <row r="10" customFormat="false" ht="20.85" hidden="false" customHeight="false" outlineLevel="0" collapsed="false">
      <c r="A10" s="16" t="s">
        <v>18</v>
      </c>
      <c r="B10" s="17" t="s">
        <v>19</v>
      </c>
      <c r="C10" s="18" t="s">
        <v>20</v>
      </c>
      <c r="D10" s="19" t="s">
        <v>21</v>
      </c>
      <c r="E10" s="16" t="s">
        <v>22</v>
      </c>
    </row>
    <row r="11" customFormat="false" ht="12" hidden="false" customHeight="false" outlineLevel="0" collapsed="false">
      <c r="A11" s="20" t="s">
        <v>23</v>
      </c>
      <c r="B11" s="21" t="n">
        <v>70000000</v>
      </c>
      <c r="C11" s="22"/>
      <c r="D11" s="21" t="n">
        <v>75465729.83</v>
      </c>
      <c r="E11" s="22" t="s">
        <v>24</v>
      </c>
    </row>
    <row r="12" customFormat="false" ht="12" hidden="false" customHeight="false" outlineLevel="0" collapsed="false">
      <c r="A12" s="20" t="s">
        <v>25</v>
      </c>
      <c r="B12" s="21" t="n">
        <v>35000000</v>
      </c>
      <c r="C12" s="22"/>
      <c r="D12" s="21" t="n">
        <v>26289759</v>
      </c>
      <c r="E12" s="22" t="s">
        <v>26</v>
      </c>
    </row>
    <row r="13" customFormat="false" ht="15" hidden="false" customHeight="true" outlineLevel="0" collapsed="false">
      <c r="A13" s="20" t="s">
        <v>27</v>
      </c>
      <c r="B13" s="21" t="n">
        <v>40000000</v>
      </c>
      <c r="C13" s="22"/>
      <c r="D13" s="21" t="n">
        <v>24818684.33</v>
      </c>
      <c r="E13" s="22" t="n">
        <v>44854</v>
      </c>
    </row>
    <row r="14" customFormat="false" ht="12" hidden="false" customHeight="false" outlineLevel="0" collapsed="false">
      <c r="A14" s="23" t="s">
        <v>28</v>
      </c>
      <c r="B14" s="24" t="n">
        <f aca="false">SUM(B11:B13)</f>
        <v>145000000</v>
      </c>
      <c r="C14" s="25"/>
      <c r="D14" s="26" t="n">
        <f aca="false">SUM(D11:D13)</f>
        <v>126574173.16</v>
      </c>
      <c r="E14" s="27"/>
    </row>
    <row r="15" customFormat="false" ht="12" hidden="false" customHeight="false" outlineLevel="0" collapsed="false">
      <c r="A15" s="28" t="s">
        <v>29</v>
      </c>
      <c r="B15" s="29"/>
      <c r="C15" s="29"/>
      <c r="D15" s="29"/>
      <c r="E15" s="30" t="n">
        <v>2</v>
      </c>
    </row>
    <row r="16" customFormat="false" ht="12" hidden="false" customHeight="false" outlineLevel="0" collapsed="false">
      <c r="A16" s="31" t="s">
        <v>30</v>
      </c>
      <c r="B16" s="32"/>
      <c r="C16" s="32"/>
      <c r="D16" s="32"/>
      <c r="E16" s="33" t="str">
        <f aca="false">IF(D68="incorrect","NG",IF(D18="incorrect","NG",IF(E68&gt;0,E69,"Incorrect")))</f>
        <v>4</v>
      </c>
    </row>
    <row r="17" customFormat="false" ht="20.85" hidden="false" customHeight="true" outlineLevel="0" collapsed="false">
      <c r="A17" s="34" t="s">
        <v>31</v>
      </c>
      <c r="B17" s="34"/>
      <c r="C17" s="35" t="s">
        <v>32</v>
      </c>
      <c r="D17" s="35" t="s">
        <v>33</v>
      </c>
      <c r="E17" s="35" t="s">
        <v>34</v>
      </c>
    </row>
    <row r="18" customFormat="false" ht="20.85" hidden="false" customHeight="false" outlineLevel="0" collapsed="false">
      <c r="A18" s="36" t="s">
        <v>35</v>
      </c>
      <c r="B18" s="36"/>
      <c r="C18" s="37" t="n">
        <f aca="false">SUM(C19:C27)%</f>
        <v>0.35</v>
      </c>
      <c r="D18" s="38" t="str">
        <f aca="false">IF(E18&gt;35,"INCORRECT",".")</f>
        <v>.</v>
      </c>
      <c r="E18" s="39" t="n">
        <f aca="false">IF(D30="Y",(E19+E20+E21+E26+E27+E28+E29)*0.75,(E19+E20+E21+E26+E27+E28+E29))</f>
        <v>17</v>
      </c>
    </row>
    <row r="19" customFormat="false" ht="30.55" hidden="false" customHeight="false" outlineLevel="0" collapsed="false">
      <c r="A19" s="40" t="s">
        <v>36</v>
      </c>
      <c r="B19" s="41" t="s">
        <v>15</v>
      </c>
      <c r="C19" s="42" t="n">
        <v>8</v>
      </c>
      <c r="D19" s="43" t="n">
        <f aca="false">([1]Analysis!B71+[1]Analysis!C71+[1]Analysis!D71)/3</f>
        <v>0.717259349464669</v>
      </c>
      <c r="E19" s="44" t="str">
        <f aca="false">IF(B7="DTS","0",IF(B7="Import/Export","0",IF(D19&lt;0.76,"8",IF(D19&lt;=1.25,"5",IF(D19&lt;=2,"3",IF(D19&gt;2,"0","0"))))))</f>
        <v>0</v>
      </c>
    </row>
    <row r="20" customFormat="false" ht="12" hidden="false" customHeight="false" outlineLevel="0" collapsed="false">
      <c r="A20" s="45" t="s">
        <v>37</v>
      </c>
      <c r="B20" s="11" t="s">
        <v>15</v>
      </c>
      <c r="C20" s="42" t="n">
        <v>8</v>
      </c>
      <c r="D20" s="43" t="n">
        <f aca="false">([1]Analysis!B69+[1]Analysis!C69+[1]Analysis!D69)/3</f>
        <v>1.27228915646544</v>
      </c>
      <c r="E20" s="46" t="str">
        <f aca="false">IF(B7="Agriculture","0",IF(B7="Construction","0",IF(B7="Import/Export","0",IF(D20&gt;2.5,"8",IF(D20&gt;=1.75,"7",IF(D20&gt;=1,"5",IF(D20&gt;=0.5,"3",IF(D20&gt;=0.01,"0","8"))))))))</f>
        <v>5</v>
      </c>
    </row>
    <row r="21" customFormat="false" ht="12.75" hidden="false" customHeight="true" outlineLevel="0" collapsed="false">
      <c r="A21" s="47" t="s">
        <v>38</v>
      </c>
      <c r="B21" s="11" t="s">
        <v>15</v>
      </c>
      <c r="C21" s="42" t="n">
        <v>7</v>
      </c>
      <c r="D21" s="43" t="n">
        <f aca="false">[1]Analysis!F81</f>
        <v>0.059070990525392</v>
      </c>
      <c r="E21" s="46" t="str">
        <f aca="false">IF(B7="Construction","0",IF(B7="DTS","0",IF(B7="Import/Export","0",IF(D21&gt;=5,"7",IF(D21&gt;=4,"6",IF(D21&gt;=3,"5",IF(D21&gt;=2,"3",IF(D21&lt;2,"1","0"))))))))</f>
        <v>0</v>
      </c>
    </row>
    <row r="22" customFormat="false" ht="12.75" hidden="false" customHeight="true" outlineLevel="0" collapsed="false">
      <c r="A22" s="47"/>
      <c r="B22" s="11"/>
      <c r="C22" s="42"/>
      <c r="D22" s="43"/>
      <c r="E22" s="46"/>
    </row>
    <row r="23" customFormat="false" ht="12.75" hidden="false" customHeight="true" outlineLevel="0" collapsed="false">
      <c r="A23" s="47"/>
      <c r="B23" s="11"/>
      <c r="C23" s="42"/>
      <c r="D23" s="43"/>
      <c r="E23" s="46"/>
    </row>
    <row r="24" customFormat="false" ht="12.75" hidden="false" customHeight="true" outlineLevel="0" collapsed="false">
      <c r="A24" s="47"/>
      <c r="B24" s="11"/>
      <c r="C24" s="42"/>
      <c r="D24" s="43"/>
      <c r="E24" s="46"/>
    </row>
    <row r="25" customFormat="false" ht="12.75" hidden="false" customHeight="true" outlineLevel="0" collapsed="false">
      <c r="A25" s="47"/>
      <c r="B25" s="11"/>
      <c r="C25" s="42"/>
      <c r="D25" s="43"/>
      <c r="E25" s="46"/>
    </row>
    <row r="26" customFormat="false" ht="30.55" hidden="false" customHeight="false" outlineLevel="0" collapsed="false">
      <c r="A26" s="47" t="s">
        <v>39</v>
      </c>
      <c r="B26" s="11" t="s">
        <v>15</v>
      </c>
      <c r="C26" s="48" t="n">
        <v>6</v>
      </c>
      <c r="D26" s="43" t="n">
        <f aca="false">[1]Analysis!F82</f>
        <v>0.914849834359377</v>
      </c>
      <c r="E26" s="49" t="str">
        <f aca="false">IF(B7="Construction","0",IF(B7="Import/Export","0",IF(D26="NA","0",IF(D26&gt;2.5,"6",IF(D26&gt;=2,"5",IF(D26&gt;=1.5,"4",IF(D26&gt;=1,"3",IF(D26&lt;1,"0"))))))))</f>
        <v>0</v>
      </c>
    </row>
    <row r="27" customFormat="false" ht="12.65" hidden="false" customHeight="true" outlineLevel="0" collapsed="false">
      <c r="A27" s="47" t="s">
        <v>40</v>
      </c>
      <c r="B27" s="50" t="s">
        <v>41</v>
      </c>
      <c r="C27" s="42" t="n">
        <v>6</v>
      </c>
      <c r="D27" s="43" t="s">
        <v>42</v>
      </c>
      <c r="E27" s="51" t="str">
        <f aca="false">IF(D27="EX","6",IF(D27="VG","5",IF(D27="GD","4",IF(D27="FR","3",IF(D27="CCR","0",IF(D27="NA","0","0"))))))</f>
        <v>6</v>
      </c>
    </row>
    <row r="28" customFormat="false" ht="12.65" hidden="false" customHeight="false" outlineLevel="0" collapsed="false">
      <c r="A28" s="47"/>
      <c r="B28" s="50" t="s">
        <v>43</v>
      </c>
      <c r="C28" s="42"/>
      <c r="D28" s="43" t="s">
        <v>42</v>
      </c>
      <c r="E28" s="51" t="str">
        <f aca="false">IF(D28="EX","6",IF(D28="VG","5",IF(D28="CCR","3",IF(D28="NA","0","0"))))</f>
        <v>6</v>
      </c>
    </row>
    <row r="29" customFormat="false" ht="12.65" hidden="false" customHeight="false" outlineLevel="0" collapsed="false">
      <c r="A29" s="47"/>
      <c r="B29" s="50" t="s">
        <v>44</v>
      </c>
      <c r="C29" s="42"/>
      <c r="D29" s="43" t="s">
        <v>45</v>
      </c>
      <c r="E29" s="52" t="str">
        <f aca="false">IF(D29="Mj","-5",IF(D29="Mn","-2",IF(D29="NA","0","0")))</f>
        <v>0</v>
      </c>
    </row>
    <row r="30" customFormat="false" ht="12.65" hidden="false" customHeight="false" outlineLevel="0" collapsed="false">
      <c r="A30" s="47"/>
      <c r="B30" s="41" t="s">
        <v>46</v>
      </c>
      <c r="C30" s="42"/>
      <c r="D30" s="53" t="s">
        <v>47</v>
      </c>
      <c r="E30" s="54"/>
    </row>
    <row r="31" customFormat="false" ht="12.65" hidden="false" customHeight="true" outlineLevel="0" collapsed="false">
      <c r="A31" s="55" t="s">
        <v>48</v>
      </c>
      <c r="B31" s="55"/>
      <c r="C31" s="56" t="n">
        <f aca="false">(C32+C33)/100</f>
        <v>0.1</v>
      </c>
      <c r="D31" s="57"/>
      <c r="E31" s="58" t="n">
        <f aca="false">E32+E33</f>
        <v>7</v>
      </c>
    </row>
    <row r="32" customFormat="false" ht="12.65" hidden="false" customHeight="false" outlineLevel="0" collapsed="false">
      <c r="A32" s="59" t="s">
        <v>49</v>
      </c>
      <c r="B32" s="59"/>
      <c r="C32" s="60" t="n">
        <v>6</v>
      </c>
      <c r="D32" s="61" t="s">
        <v>50</v>
      </c>
      <c r="E32" s="62" t="str">
        <f aca="false">IF(D32="Favourable","6",IF(D32="Stable","5",IF(D32="Unstable","2",IF(D32="NA","0","0"))))</f>
        <v>5</v>
      </c>
    </row>
    <row r="33" customFormat="false" ht="12.65" hidden="false" customHeight="false" outlineLevel="0" collapsed="false">
      <c r="A33" s="59" t="s">
        <v>51</v>
      </c>
      <c r="B33" s="59"/>
      <c r="C33" s="60" t="n">
        <v>4</v>
      </c>
      <c r="D33" s="61" t="s">
        <v>52</v>
      </c>
      <c r="E33" s="62" t="str">
        <f aca="false">IF(D33="Dominant","4",IF(D33="Average","2",IF(D33="Weak","0",IF(D33="NA","0","0"))))</f>
        <v>2</v>
      </c>
    </row>
    <row r="34" customFormat="false" ht="12.75" hidden="false" customHeight="true" outlineLevel="0" collapsed="false">
      <c r="A34" s="55" t="s">
        <v>53</v>
      </c>
      <c r="B34" s="55"/>
      <c r="C34" s="56" t="n">
        <f aca="false">(C35+C36+C37)/100</f>
        <v>0.15</v>
      </c>
      <c r="D34" s="63"/>
      <c r="E34" s="58" t="n">
        <f aca="false">E35+E36+E37</f>
        <v>10</v>
      </c>
    </row>
    <row r="35" customFormat="false" ht="12" hidden="false" customHeight="false" outlineLevel="0" collapsed="false">
      <c r="A35" s="59" t="s">
        <v>54</v>
      </c>
      <c r="B35" s="59"/>
      <c r="C35" s="60" t="n">
        <v>8</v>
      </c>
      <c r="D35" s="61" t="s">
        <v>42</v>
      </c>
      <c r="E35" s="62" t="str">
        <f aca="false">IF(D35="NA","0",IF(D35="EX","8",IF(D35="VG","7",IF(D35="GD","6",IF(D35="WK","2","0")))))</f>
        <v>8</v>
      </c>
    </row>
    <row r="36" customFormat="false" ht="12" hidden="false" customHeight="false" outlineLevel="0" collapsed="false">
      <c r="A36" s="59" t="s">
        <v>55</v>
      </c>
      <c r="B36" s="59"/>
      <c r="C36" s="60" t="n">
        <v>5</v>
      </c>
      <c r="D36" s="61" t="s">
        <v>56</v>
      </c>
      <c r="E36" s="62" t="str">
        <f aca="false">IF(D36="NA","0",IF(D36="EX","5",IF(D36="VG","4",IF(D36="GD","2",IF(D36="WK","0","0")))))</f>
        <v>2</v>
      </c>
    </row>
    <row r="37" customFormat="false" ht="12" hidden="false" customHeight="false" outlineLevel="0" collapsed="false">
      <c r="A37" s="59" t="s">
        <v>57</v>
      </c>
      <c r="B37" s="59"/>
      <c r="C37" s="60" t="n">
        <v>2</v>
      </c>
      <c r="D37" s="61" t="s">
        <v>58</v>
      </c>
      <c r="E37" s="62" t="str">
        <f aca="false">IF(D37="NA","0",IF(D37="Ready","2",IF(D37="No","0","0")))</f>
        <v>0</v>
      </c>
    </row>
    <row r="38" customFormat="false" ht="12" hidden="false" customHeight="true" outlineLevel="0" collapsed="false">
      <c r="A38" s="55" t="s">
        <v>59</v>
      </c>
      <c r="B38" s="55"/>
      <c r="C38" s="64" t="n">
        <f aca="false">(C39+C43+C49)/3</f>
        <v>0.25</v>
      </c>
      <c r="D38" s="65" t="str">
        <f aca="false">IF(E38&gt;25,"INCORRECT",".")</f>
        <v>.</v>
      </c>
      <c r="E38" s="58" t="n">
        <f aca="false">(E39+E43+E46+E49+E52+E55+E57+E60)/E63+(E62)</f>
        <v>7.125</v>
      </c>
    </row>
    <row r="39" customFormat="false" ht="12" hidden="false" customHeight="true" outlineLevel="0" collapsed="false">
      <c r="A39" s="47" t="s">
        <v>60</v>
      </c>
      <c r="B39" s="66"/>
      <c r="C39" s="67" t="n">
        <f aca="false">(C40+C41+C42)/100</f>
        <v>0.25</v>
      </c>
      <c r="D39" s="68"/>
      <c r="E39" s="69" t="n">
        <f aca="false">E40+E41+E42</f>
        <v>21</v>
      </c>
    </row>
    <row r="40" customFormat="false" ht="12" hidden="false" customHeight="false" outlineLevel="0" collapsed="false">
      <c r="A40" s="47"/>
      <c r="B40" s="59" t="s">
        <v>61</v>
      </c>
      <c r="C40" s="60" t="n">
        <v>7</v>
      </c>
      <c r="D40" s="70" t="n">
        <f aca="false">(99%+99%+99%)/3</f>
        <v>0.99</v>
      </c>
      <c r="E40" s="62" t="str">
        <f aca="false">IF(D40&lt;0.01,"0",IF(D40&lt;60%,"3",IF(D40&gt;=85%,"7",IF(D40&gt;=60%,"5",0))))</f>
        <v>7</v>
      </c>
    </row>
    <row r="41" customFormat="false" ht="12" hidden="false" customHeight="false" outlineLevel="0" collapsed="false">
      <c r="A41" s="47"/>
      <c r="B41" s="59" t="s">
        <v>62</v>
      </c>
      <c r="C41" s="60" t="n">
        <v>8</v>
      </c>
      <c r="D41" s="61" t="s">
        <v>56</v>
      </c>
      <c r="E41" s="62" t="str">
        <f aca="false">IF(D41="NA","0",IF(D41="EX","8",IF(D41="VG","6",IF(D41="GD","4","0"))))</f>
        <v>4</v>
      </c>
    </row>
    <row r="42" customFormat="false" ht="12" hidden="false" customHeight="false" outlineLevel="0" collapsed="false">
      <c r="A42" s="47"/>
      <c r="B42" s="59" t="s">
        <v>63</v>
      </c>
      <c r="C42" s="60" t="n">
        <v>10</v>
      </c>
      <c r="D42" s="71" t="s">
        <v>56</v>
      </c>
      <c r="E42" s="62" t="str">
        <f aca="false">IF(D42="NA","0",IF(D42&gt;3,"10",IF(D42&gt;=2,"7",IF(D42&gt;=1,"4",IF(D42&lt;1,0)))))</f>
        <v>10</v>
      </c>
    </row>
    <row r="43" customFormat="false" ht="12" hidden="false" customHeight="true" outlineLevel="0" collapsed="false">
      <c r="A43" s="47" t="s">
        <v>64</v>
      </c>
      <c r="B43" s="72"/>
      <c r="C43" s="67" t="n">
        <f aca="false">(C44+C45)/100</f>
        <v>0.25</v>
      </c>
      <c r="D43" s="73"/>
      <c r="E43" s="69" t="n">
        <f aca="false">E44+E45</f>
        <v>12</v>
      </c>
    </row>
    <row r="44" customFormat="false" ht="12" hidden="false" customHeight="false" outlineLevel="0" collapsed="false">
      <c r="A44" s="47"/>
      <c r="B44" s="59" t="s">
        <v>65</v>
      </c>
      <c r="C44" s="60" t="n">
        <v>15</v>
      </c>
      <c r="D44" s="61" t="s">
        <v>56</v>
      </c>
      <c r="E44" s="62" t="str">
        <f aca="false">IF(D44="NA","0",IF(D44="EX","15",IF(D44="VG","10",IF(D44="GD","5",IF(D44="WK","0","0")))))</f>
        <v>5</v>
      </c>
    </row>
    <row r="45" customFormat="false" ht="12" hidden="false" customHeight="false" outlineLevel="0" collapsed="false">
      <c r="A45" s="47"/>
      <c r="B45" s="59" t="s">
        <v>66</v>
      </c>
      <c r="C45" s="60" t="n">
        <v>10</v>
      </c>
      <c r="D45" s="61" t="s">
        <v>67</v>
      </c>
      <c r="E45" s="62" t="str">
        <f aca="false">IF(D45="WK","0",IF(D45="NA","0",IF(D45="EX","10",IF(D45="VG","7",IF(D45="GD","4","0")))))</f>
        <v>7</v>
      </c>
    </row>
    <row r="46" customFormat="false" ht="12" hidden="false" customHeight="true" outlineLevel="0" collapsed="false">
      <c r="A46" s="47" t="s">
        <v>68</v>
      </c>
      <c r="B46" s="72"/>
      <c r="C46" s="67" t="n">
        <f aca="false">(C47+C48)%</f>
        <v>0</v>
      </c>
      <c r="D46" s="74"/>
      <c r="E46" s="69" t="n">
        <f aca="false">E47+E48</f>
        <v>0</v>
      </c>
    </row>
    <row r="47" customFormat="false" ht="12" hidden="false" customHeight="false" outlineLevel="0" collapsed="false">
      <c r="A47" s="47"/>
      <c r="B47" s="59" t="s">
        <v>69</v>
      </c>
      <c r="C47" s="75" t="n">
        <v>0</v>
      </c>
      <c r="D47" s="61" t="s">
        <v>45</v>
      </c>
      <c r="E47" s="76" t="str">
        <f aca="false">IF(D47="NA","0",IF(D47="EX","15",IF(D47="VG","10",IF(D47="GD","5",IF(D47="WK","0","0")))))</f>
        <v>0</v>
      </c>
    </row>
    <row r="48" customFormat="false" ht="12.75" hidden="false" customHeight="true" outlineLevel="0" collapsed="false">
      <c r="A48" s="47"/>
      <c r="B48" s="59" t="s">
        <v>70</v>
      </c>
      <c r="C48" s="75" t="n">
        <v>0</v>
      </c>
      <c r="D48" s="61" t="n">
        <v>0</v>
      </c>
      <c r="E48" s="77" t="str">
        <f aca="false">IF(D48&gt;3,"10",IF(D48&gt;=2,"7",IF(D48&gt;=1,"4",IF(D48&lt;1,"0","0"))))</f>
        <v>0</v>
      </c>
    </row>
    <row r="49" customFormat="false" ht="12" hidden="false" customHeight="true" outlineLevel="0" collapsed="false">
      <c r="A49" s="47" t="s">
        <v>71</v>
      </c>
      <c r="B49" s="72"/>
      <c r="C49" s="67" t="n">
        <f aca="false">(C50+C51)/100</f>
        <v>0.25</v>
      </c>
      <c r="D49" s="78"/>
      <c r="E49" s="79" t="n">
        <f aca="false">E50+E51</f>
        <v>4</v>
      </c>
    </row>
    <row r="50" customFormat="false" ht="12" hidden="false" customHeight="false" outlineLevel="0" collapsed="false">
      <c r="A50" s="47"/>
      <c r="B50" s="59" t="s">
        <v>72</v>
      </c>
      <c r="C50" s="80" t="n">
        <v>10</v>
      </c>
      <c r="D50" s="61" t="n">
        <v>1</v>
      </c>
      <c r="E50" s="77" t="str">
        <f aca="false">IF(D50&gt;2,"10",IF(D50&gt;=1.25,"7",IF(D50&gt;=0.5,"4",IF(D50&lt;0.5,"0","0"))))</f>
        <v>4</v>
      </c>
    </row>
    <row r="51" customFormat="false" ht="12" hidden="false" customHeight="false" outlineLevel="0" collapsed="false">
      <c r="A51" s="47"/>
      <c r="B51" s="59" t="s">
        <v>69</v>
      </c>
      <c r="C51" s="80" t="n">
        <v>15</v>
      </c>
      <c r="D51" s="61" t="s">
        <v>73</v>
      </c>
      <c r="E51" s="77" t="str">
        <f aca="false">IF(D51="NA","0",IF(D51="EX","15",IF(D51="VG","10",IF(D51="GD","5",IF(D51="WK","0","0")))))</f>
        <v>0</v>
      </c>
    </row>
    <row r="52" customFormat="false" ht="12" hidden="false" customHeight="true" outlineLevel="0" collapsed="false">
      <c r="A52" s="47" t="s">
        <v>74</v>
      </c>
      <c r="B52" s="72"/>
      <c r="C52" s="67" t="n">
        <f aca="false">(C53+C54)/100</f>
        <v>0</v>
      </c>
      <c r="D52" s="78"/>
      <c r="E52" s="69" t="n">
        <f aca="false">E53+E54</f>
        <v>0</v>
      </c>
    </row>
    <row r="53" customFormat="false" ht="12" hidden="false" customHeight="false" outlineLevel="0" collapsed="false">
      <c r="A53" s="47"/>
      <c r="B53" s="81" t="s">
        <v>72</v>
      </c>
      <c r="C53" s="80"/>
      <c r="D53" s="61"/>
      <c r="E53" s="77" t="str">
        <f aca="false">IF(D53&gt;2,"10",IF(D53&gt;=1.25,"7",IF(D53&gt;=0.5,"4",IF(D53&lt;0.5,"0","0"))))</f>
        <v>0</v>
      </c>
    </row>
    <row r="54" customFormat="false" ht="12" hidden="false" customHeight="false" outlineLevel="0" collapsed="false">
      <c r="A54" s="47"/>
      <c r="B54" s="81" t="s">
        <v>69</v>
      </c>
      <c r="C54" s="80"/>
      <c r="D54" s="61" t="s">
        <v>73</v>
      </c>
      <c r="E54" s="77" t="str">
        <f aca="false">IF(D54="NA","0",IF(D54="EX","15",IF(D54="VG","5",IF(D54="WK","0","0"))))</f>
        <v>0</v>
      </c>
    </row>
    <row r="55" customFormat="false" ht="12" hidden="false" customHeight="true" outlineLevel="0" collapsed="false">
      <c r="A55" s="47" t="s">
        <v>75</v>
      </c>
      <c r="B55" s="72"/>
      <c r="C55" s="67"/>
      <c r="D55" s="74"/>
      <c r="E55" s="69" t="str">
        <f aca="false">E56</f>
        <v>0</v>
      </c>
    </row>
    <row r="56" customFormat="false" ht="12" hidden="false" customHeight="false" outlineLevel="0" collapsed="false">
      <c r="A56" s="47"/>
      <c r="B56" s="59" t="s">
        <v>76</v>
      </c>
      <c r="C56" s="60"/>
      <c r="D56" s="82"/>
      <c r="E56" s="62" t="str">
        <f aca="false">IF(D56="NA","0",IF(D56&gt;=4,"25",IF(D56&gt;=3,"15",IF(D56&gt;=2,"7",IF(D56&lt;2,"0")))))</f>
        <v>0</v>
      </c>
    </row>
    <row r="57" customFormat="false" ht="12" hidden="false" customHeight="true" outlineLevel="0" collapsed="false">
      <c r="A57" s="47" t="s">
        <v>77</v>
      </c>
      <c r="B57" s="72"/>
      <c r="C57" s="67"/>
      <c r="D57" s="83"/>
      <c r="E57" s="69" t="n">
        <f aca="false">E58+E59</f>
        <v>5</v>
      </c>
    </row>
    <row r="58" customFormat="false" ht="12" hidden="false" customHeight="false" outlineLevel="0" collapsed="false">
      <c r="A58" s="47"/>
      <c r="B58" s="59" t="s">
        <v>69</v>
      </c>
      <c r="C58" s="80"/>
      <c r="D58" s="61" t="s">
        <v>73</v>
      </c>
      <c r="E58" s="62" t="str">
        <f aca="false">IF(D58="NA","0",IF(D58="EX","15",IF(D58="VG","10",IF(D58="WK","5","0"))))</f>
        <v>5</v>
      </c>
    </row>
    <row r="59" customFormat="false" ht="12" hidden="false" customHeight="false" outlineLevel="0" collapsed="false">
      <c r="A59" s="47"/>
      <c r="B59" s="59" t="s">
        <v>78</v>
      </c>
      <c r="C59" s="80"/>
      <c r="D59" s="61"/>
      <c r="E59" s="62" t="str">
        <f aca="false">IF(D59="NA","0",IF(D59&gt;3,"10",IF(D59&gt;=2,"7",IF(D59&gt;=1,"4",IF(D59&lt;1,"0","0")))))</f>
        <v>0</v>
      </c>
    </row>
    <row r="60" customFormat="false" ht="12" hidden="false" customHeight="true" outlineLevel="0" collapsed="false">
      <c r="A60" s="47" t="s">
        <v>79</v>
      </c>
      <c r="B60" s="84"/>
      <c r="C60" s="67"/>
      <c r="D60" s="74"/>
      <c r="E60" s="69" t="str">
        <f aca="false">E61</f>
        <v>15</v>
      </c>
    </row>
    <row r="61" customFormat="false" ht="12" hidden="false" customHeight="false" outlineLevel="0" collapsed="false">
      <c r="A61" s="47"/>
      <c r="B61" s="59" t="s">
        <v>80</v>
      </c>
      <c r="C61" s="80"/>
      <c r="D61" s="61" t="s">
        <v>81</v>
      </c>
      <c r="E61" s="62" t="str">
        <f aca="false">IF(D61="WC","25",IF(D61="AC","15","0"))</f>
        <v>15</v>
      </c>
    </row>
    <row r="62" customFormat="false" ht="12" hidden="false" customHeight="false" outlineLevel="0" collapsed="false">
      <c r="A62" s="85" t="s">
        <v>82</v>
      </c>
      <c r="B62" s="86" t="s">
        <v>83</v>
      </c>
      <c r="C62" s="87"/>
      <c r="D62" s="61" t="s">
        <v>84</v>
      </c>
      <c r="E62" s="77" t="str">
        <f aca="false">IF(D62="PP","-5",IF(D62="SW","-10",IF(D62="BY","-10","0")))</f>
        <v>0</v>
      </c>
    </row>
    <row r="63" customFormat="false" ht="12" hidden="false" customHeight="false" outlineLevel="0" collapsed="false">
      <c r="A63" s="88" t="s">
        <v>85</v>
      </c>
      <c r="B63" s="88"/>
      <c r="C63" s="89"/>
      <c r="D63" s="90"/>
      <c r="E63" s="91" t="n">
        <v>8</v>
      </c>
    </row>
    <row r="64" customFormat="false" ht="12" hidden="false" customHeight="true" outlineLevel="0" collapsed="false">
      <c r="A64" s="47" t="s">
        <v>86</v>
      </c>
      <c r="B64" s="47"/>
      <c r="C64" s="67" t="n">
        <f aca="false">(C65+C66+C67)/100</f>
        <v>0.15</v>
      </c>
      <c r="D64" s="92"/>
      <c r="E64" s="69" t="n">
        <f aca="false">E65+E66+E67</f>
        <v>11</v>
      </c>
    </row>
    <row r="65" customFormat="false" ht="12" hidden="false" customHeight="false" outlineLevel="0" collapsed="false">
      <c r="A65" s="93" t="s">
        <v>87</v>
      </c>
      <c r="B65" s="93"/>
      <c r="C65" s="60" t="n">
        <v>6</v>
      </c>
      <c r="D65" s="82" t="n">
        <v>7</v>
      </c>
      <c r="E65" s="94" t="str">
        <f aca="false">IF(D65="NA","0",IF(D65&gt;=10,"6",IF(D65&lt;2,"0",IF(D65&gt;=5,"4",IF(D65&gt;=2,"2","0")))))</f>
        <v>4</v>
      </c>
    </row>
    <row r="66" customFormat="false" ht="12" hidden="false" customHeight="false" outlineLevel="0" collapsed="false">
      <c r="A66" s="93" t="s">
        <v>88</v>
      </c>
      <c r="B66" s="93"/>
      <c r="C66" s="60" t="n">
        <v>6</v>
      </c>
      <c r="D66" s="61" t="s">
        <v>89</v>
      </c>
      <c r="E66" s="94" t="str">
        <f aca="false">IF(D66="NA","0",IF(D66="HIGH","6",IF(D66="MEDIUM","4",IF(D66="LOW","0","0"))))</f>
        <v>4</v>
      </c>
    </row>
    <row r="67" customFormat="false" ht="12" hidden="false" customHeight="false" outlineLevel="0" collapsed="false">
      <c r="A67" s="93" t="s">
        <v>90</v>
      </c>
      <c r="B67" s="93"/>
      <c r="C67" s="60" t="n">
        <v>3</v>
      </c>
      <c r="D67" s="61" t="s">
        <v>47</v>
      </c>
      <c r="E67" s="94" t="str">
        <f aca="false">IF(D67="NA","0",IF(D67="NO","0",IF(D67="YES","3","0")))</f>
        <v>3</v>
      </c>
    </row>
    <row r="68" customFormat="false" ht="12" hidden="false" customHeight="true" outlineLevel="0" collapsed="false">
      <c r="A68" s="95" t="s">
        <v>91</v>
      </c>
      <c r="B68" s="95"/>
      <c r="C68" s="96" t="n">
        <f aca="false">(C18+C31+C34+C38+C64)</f>
        <v>1</v>
      </c>
      <c r="D68" s="97" t="str">
        <f aca="false">IF(E68&gt;100,"INCORRECT",".")</f>
        <v>.</v>
      </c>
      <c r="E68" s="98" t="n">
        <f aca="false">IF(E38&gt;0,E18+E31+E34+E38+E64,IF(E38&lt;=0,E18+E31+E34+E38+E64)/0.75)</f>
        <v>52.125</v>
      </c>
    </row>
    <row r="69" customFormat="false" ht="12" hidden="false" customHeight="false" outlineLevel="0" collapsed="false">
      <c r="A69" s="99" t="s">
        <v>92</v>
      </c>
      <c r="B69" s="99"/>
      <c r="C69" s="100"/>
      <c r="D69" s="100"/>
      <c r="E69" s="101" t="str">
        <f aca="false">IF(D77="CHECK AGAIN","NG",IF(E68&gt;=84.5,"1",IF(E68&gt;=70,"2",IF(E68&gt;=60,"3",IF(E68&gt;50,"4",IF(E68&gt;=40,"5",IF(FE68&gt;=30,"6",IF(E68&gt;=25,"7","8"))))))))</f>
        <v>4</v>
      </c>
    </row>
    <row r="70" customFormat="false" ht="20.25" hidden="false" customHeight="true" outlineLevel="0" collapsed="false">
      <c r="A70" s="102" t="s">
        <v>93</v>
      </c>
      <c r="B70" s="102"/>
      <c r="C70" s="101"/>
      <c r="D70" s="101"/>
      <c r="E70" s="103" t="str">
        <f aca="false">IF(E69="1","Exeptionally Low Risk",IF(E69="2","Very Low Risk",IF(E69="3","Low Risk",IF(E69="4"," Moderate Risk",IF(E69="5","Potential  Risk",IF(E69="6","High Risk",IF(E69="7","Very High Risk",IF(E69="8","Default Risk","NA"))))))))</f>
        <v> Moderate Risk</v>
      </c>
    </row>
    <row r="71" customFormat="false" ht="18.75" hidden="false" customHeight="true" outlineLevel="0" collapsed="false">
      <c r="A71" s="99" t="s">
        <v>94</v>
      </c>
      <c r="B71" s="99"/>
      <c r="C71" s="104"/>
      <c r="D71" s="104"/>
      <c r="E71" s="105" t="str">
        <f aca="false">IF(E69="NG","NA",IF(E69="1","Bankable",IF(E69="2","Bankable",IF(E69="3","Bankable",IF(E69="4","Exceptionlly Bankable",IF(E69="5","Very Exceptionally Bankable",IF(E69&gt;=6,"Non Bankable")))))))</f>
        <v>Exceptionlly Bankable</v>
      </c>
    </row>
    <row r="72" customFormat="false" ht="12" hidden="false" customHeight="false" outlineLevel="0" collapsed="false">
      <c r="A72" s="106" t="s">
        <v>95</v>
      </c>
      <c r="B72" s="106"/>
      <c r="C72" s="106"/>
      <c r="D72" s="106"/>
      <c r="E72" s="106"/>
    </row>
    <row r="73" customFormat="false" ht="12" hidden="false" customHeight="false" outlineLevel="0" collapsed="false">
      <c r="A73" s="107"/>
      <c r="B73" s="107"/>
      <c r="C73" s="107"/>
      <c r="D73" s="107"/>
      <c r="E73" s="107"/>
    </row>
    <row r="74" customFormat="false" ht="12" hidden="false" customHeight="false" outlineLevel="0" collapsed="false">
      <c r="A74" s="107"/>
      <c r="B74" s="107"/>
      <c r="C74" s="107"/>
      <c r="D74" s="107"/>
      <c r="E74" s="107"/>
    </row>
    <row r="75" customFormat="false" ht="12" hidden="false" customHeight="true" outlineLevel="0" collapsed="false">
      <c r="A75" s="55" t="s">
        <v>96</v>
      </c>
      <c r="B75" s="55"/>
      <c r="C75" s="108" t="s">
        <v>97</v>
      </c>
      <c r="D75" s="108"/>
      <c r="E75" s="108"/>
    </row>
    <row r="76" customFormat="false" ht="12" hidden="false" customHeight="false" outlineLevel="0" collapsed="false">
      <c r="A76" s="109" t="s">
        <v>98</v>
      </c>
      <c r="B76" s="110" t="s">
        <v>99</v>
      </c>
      <c r="C76" s="110" t="s">
        <v>100</v>
      </c>
      <c r="D76" s="110" t="s">
        <v>101</v>
      </c>
      <c r="E76" s="110"/>
    </row>
    <row r="77" customFormat="false" ht="12" hidden="false" customHeight="false" outlineLevel="0" collapsed="false">
      <c r="A77" s="111"/>
      <c r="B77" s="112" t="s">
        <v>102</v>
      </c>
      <c r="C77" s="113" t="n">
        <v>45079</v>
      </c>
      <c r="D77" s="114" t="str">
        <f aca="false">IF(D18="INCORRECT ","CHECK AGAIN",IF(D18="Incorrect","CHECK AGAIN",IF(D38="incorrect","CHECK AGAIN",IF(C7="INCORRECT SECTOR NAME","CHECK AGAIN","."))))</f>
        <v>.</v>
      </c>
      <c r="E77" s="114"/>
    </row>
    <row r="78" customFormat="false" ht="12" hidden="false" customHeight="false" outlineLevel="0" collapsed="false">
      <c r="A78" s="109" t="s">
        <v>103</v>
      </c>
      <c r="B78" s="110" t="str">
        <f aca="false">B76</f>
        <v>Title</v>
      </c>
      <c r="C78" s="110" t="s">
        <v>100</v>
      </c>
      <c r="D78" s="110" t="str">
        <f aca="false">D76</f>
        <v>Signature</v>
      </c>
      <c r="E78" s="110"/>
    </row>
    <row r="79" customFormat="false" ht="12" hidden="false" customHeight="false" outlineLevel="0" collapsed="false">
      <c r="A79" s="111"/>
      <c r="B79" s="112"/>
      <c r="C79" s="113" t="n">
        <v>45079</v>
      </c>
      <c r="D79" s="114" t="str">
        <f aca="false">IF(D77="CHECK AGAIN","DON’T APPROVE",".")</f>
        <v>.</v>
      </c>
      <c r="E79" s="114"/>
    </row>
    <row r="80" customFormat="false" ht="12" hidden="false" customHeight="false" outlineLevel="0" collapsed="false">
      <c r="A80" s="115"/>
      <c r="B80" s="115"/>
      <c r="D80" s="115"/>
    </row>
    <row r="81" customFormat="false" ht="12" hidden="false" customHeight="false" outlineLevel="0" collapsed="false">
      <c r="A81" s="115"/>
      <c r="B81" s="115"/>
      <c r="D81" s="115"/>
    </row>
    <row r="82" customFormat="false" ht="12" hidden="false" customHeight="false" outlineLevel="0" collapsed="false">
      <c r="A82" s="115"/>
      <c r="B82" s="115"/>
      <c r="D82" s="115"/>
    </row>
    <row r="83" customFormat="false" ht="12" hidden="false" customHeight="false" outlineLevel="0" collapsed="false">
      <c r="A83" s="115"/>
      <c r="B83" s="115"/>
      <c r="D83" s="115"/>
    </row>
    <row r="84" customFormat="false" ht="12" hidden="false" customHeight="false" outlineLevel="0" collapsed="false">
      <c r="A84" s="115"/>
      <c r="B84" s="115"/>
      <c r="D84" s="115"/>
    </row>
    <row r="85" customFormat="false" ht="12" hidden="false" customHeight="false" outlineLevel="0" collapsed="false">
      <c r="A85" s="115"/>
      <c r="B85" s="115"/>
      <c r="D85" s="115"/>
    </row>
    <row r="86" customFormat="false" ht="12" hidden="false" customHeight="false" outlineLevel="0" collapsed="false">
      <c r="A86" s="115"/>
      <c r="B86" s="115"/>
      <c r="D86" s="115"/>
    </row>
    <row r="87" customFormat="false" ht="12" hidden="false" customHeight="false" outlineLevel="0" collapsed="false">
      <c r="A87" s="115"/>
      <c r="B87" s="115"/>
      <c r="D87" s="115"/>
    </row>
    <row r="88" customFormat="false" ht="12" hidden="false" customHeight="false" outlineLevel="0" collapsed="false">
      <c r="A88" s="115"/>
      <c r="B88" s="115"/>
      <c r="D88" s="115"/>
    </row>
    <row r="89" customFormat="false" ht="12" hidden="false" customHeight="false" outlineLevel="0" collapsed="false">
      <c r="A89" s="115"/>
      <c r="B89" s="115"/>
      <c r="D89" s="115"/>
    </row>
    <row r="90" customFormat="false" ht="12" hidden="false" customHeight="false" outlineLevel="0" collapsed="false">
      <c r="A90" s="115"/>
      <c r="B90" s="115"/>
      <c r="D90" s="115"/>
    </row>
    <row r="91" customFormat="false" ht="12" hidden="false" customHeight="false" outlineLevel="0" collapsed="false">
      <c r="A91" s="115"/>
      <c r="B91" s="115"/>
      <c r="D91" s="115"/>
    </row>
    <row r="92" customFormat="false" ht="12" hidden="false" customHeight="false" outlineLevel="0" collapsed="false">
      <c r="A92" s="115"/>
      <c r="B92" s="115"/>
      <c r="D92" s="115"/>
    </row>
    <row r="93" customFormat="false" ht="12" hidden="false" customHeight="false" outlineLevel="0" collapsed="false">
      <c r="A93" s="115"/>
      <c r="B93" s="115"/>
      <c r="D93" s="115"/>
    </row>
    <row r="94" customFormat="false" ht="12" hidden="false" customHeight="false" outlineLevel="0" collapsed="false">
      <c r="A94" s="115"/>
      <c r="B94" s="115"/>
      <c r="D94" s="115"/>
    </row>
    <row r="95" customFormat="false" ht="12" hidden="false" customHeight="false" outlineLevel="0" collapsed="false">
      <c r="A95" s="115"/>
      <c r="B95" s="115"/>
      <c r="D95" s="115"/>
    </row>
    <row r="96" customFormat="false" ht="12" hidden="false" customHeight="false" outlineLevel="0" collapsed="false">
      <c r="A96" s="115"/>
      <c r="B96" s="115"/>
      <c r="D96" s="115"/>
    </row>
    <row r="97" customFormat="false" ht="12" hidden="false" customHeight="false" outlineLevel="0" collapsed="false">
      <c r="A97" s="115"/>
      <c r="B97" s="115"/>
      <c r="D97" s="115"/>
    </row>
    <row r="98" customFormat="false" ht="12" hidden="false" customHeight="false" outlineLevel="0" collapsed="false">
      <c r="A98" s="115"/>
      <c r="B98" s="115"/>
      <c r="D98" s="115"/>
    </row>
    <row r="99" customFormat="false" ht="12" hidden="false" customHeight="false" outlineLevel="0" collapsed="false">
      <c r="A99" s="115"/>
      <c r="B99" s="115"/>
      <c r="D99" s="115"/>
    </row>
    <row r="100" customFormat="false" ht="12" hidden="false" customHeight="false" outlineLevel="0" collapsed="false">
      <c r="A100" s="115"/>
      <c r="B100" s="115"/>
      <c r="D100" s="115"/>
    </row>
    <row r="101" customFormat="false" ht="12" hidden="false" customHeight="false" outlineLevel="0" collapsed="false">
      <c r="A101" s="115"/>
      <c r="B101" s="115"/>
      <c r="D101" s="115"/>
    </row>
    <row r="102" customFormat="false" ht="12" hidden="false" customHeight="false" outlineLevel="0" collapsed="false">
      <c r="A102" s="115"/>
      <c r="B102" s="115"/>
      <c r="D102" s="115"/>
    </row>
    <row r="103" customFormat="false" ht="12" hidden="false" customHeight="false" outlineLevel="0" collapsed="false">
      <c r="A103" s="115"/>
      <c r="B103" s="115"/>
      <c r="D103" s="115"/>
    </row>
    <row r="104" customFormat="false" ht="12" hidden="false" customHeight="false" outlineLevel="0" collapsed="false">
      <c r="A104" s="115"/>
      <c r="B104" s="115"/>
      <c r="D104" s="115"/>
    </row>
    <row r="105" customFormat="false" ht="12" hidden="false" customHeight="false" outlineLevel="0" collapsed="false">
      <c r="A105" s="115"/>
      <c r="B105" s="115"/>
      <c r="D105" s="115"/>
    </row>
    <row r="106" customFormat="false" ht="12" hidden="false" customHeight="false" outlineLevel="0" collapsed="false">
      <c r="A106" s="115"/>
      <c r="B106" s="115"/>
      <c r="D106" s="115"/>
    </row>
    <row r="107" customFormat="false" ht="12" hidden="false" customHeight="false" outlineLevel="0" collapsed="false">
      <c r="A107" s="115"/>
      <c r="B107" s="115"/>
      <c r="D107" s="115"/>
    </row>
    <row r="108" customFormat="false" ht="12" hidden="false" customHeight="false" outlineLevel="0" collapsed="false">
      <c r="A108" s="115"/>
      <c r="B108" s="115"/>
      <c r="D108" s="115"/>
    </row>
    <row r="109" customFormat="false" ht="12" hidden="false" customHeight="false" outlineLevel="0" collapsed="false">
      <c r="A109" s="115"/>
      <c r="B109" s="115"/>
      <c r="D109" s="115"/>
    </row>
    <row r="110" customFormat="false" ht="12" hidden="false" customHeight="false" outlineLevel="0" collapsed="false">
      <c r="A110" s="115"/>
      <c r="B110" s="115"/>
      <c r="D110" s="115"/>
    </row>
    <row r="111" customFormat="false" ht="12" hidden="false" customHeight="false" outlineLevel="0" collapsed="false">
      <c r="A111" s="115"/>
      <c r="B111" s="115"/>
      <c r="D111" s="115"/>
    </row>
    <row r="112" customFormat="false" ht="12" hidden="false" customHeight="false" outlineLevel="0" collapsed="false">
      <c r="A112" s="115"/>
      <c r="B112" s="115"/>
      <c r="D112" s="115"/>
    </row>
    <row r="113" customFormat="false" ht="12" hidden="false" customHeight="false" outlineLevel="0" collapsed="false">
      <c r="A113" s="115"/>
      <c r="B113" s="115"/>
      <c r="D113" s="115"/>
    </row>
    <row r="114" customFormat="false" ht="12" hidden="false" customHeight="false" outlineLevel="0" collapsed="false">
      <c r="A114" s="115"/>
      <c r="B114" s="115"/>
      <c r="D114" s="115"/>
    </row>
    <row r="115" customFormat="false" ht="12" hidden="false" customHeight="false" outlineLevel="0" collapsed="false">
      <c r="A115" s="115"/>
      <c r="B115" s="115"/>
      <c r="D115" s="115"/>
    </row>
    <row r="116" customFormat="false" ht="12" hidden="false" customHeight="false" outlineLevel="0" collapsed="false">
      <c r="A116" s="115"/>
      <c r="B116" s="115"/>
      <c r="D116" s="115"/>
    </row>
    <row r="117" customFormat="false" ht="12" hidden="false" customHeight="false" outlineLevel="0" collapsed="false">
      <c r="A117" s="115"/>
      <c r="B117" s="115"/>
      <c r="D117" s="115"/>
    </row>
    <row r="118" customFormat="false" ht="12" hidden="false" customHeight="false" outlineLevel="0" collapsed="false">
      <c r="A118" s="115"/>
      <c r="B118" s="115"/>
      <c r="D118" s="115"/>
    </row>
    <row r="119" customFormat="false" ht="12" hidden="false" customHeight="false" outlineLevel="0" collapsed="false">
      <c r="A119" s="115"/>
      <c r="B119" s="115"/>
      <c r="D119" s="115"/>
    </row>
    <row r="120" customFormat="false" ht="12" hidden="false" customHeight="false" outlineLevel="0" collapsed="false">
      <c r="A120" s="115"/>
      <c r="B120" s="115"/>
      <c r="D120" s="115"/>
    </row>
    <row r="121" customFormat="false" ht="12" hidden="false" customHeight="false" outlineLevel="0" collapsed="false">
      <c r="A121" s="115"/>
      <c r="B121" s="115"/>
      <c r="D121" s="115"/>
    </row>
    <row r="122" customFormat="false" ht="12" hidden="false" customHeight="false" outlineLevel="0" collapsed="false">
      <c r="A122" s="115"/>
      <c r="B122" s="115"/>
      <c r="D122" s="115"/>
    </row>
  </sheetData>
  <mergeCells count="47">
    <mergeCell ref="A1:D1"/>
    <mergeCell ref="E1:E2"/>
    <mergeCell ref="A2:D2"/>
    <mergeCell ref="B4:C4"/>
    <mergeCell ref="E4:E5"/>
    <mergeCell ref="B5:C5"/>
    <mergeCell ref="B6:D6"/>
    <mergeCell ref="C7:D7"/>
    <mergeCell ref="D8:E8"/>
    <mergeCell ref="B15:D15"/>
    <mergeCell ref="B16:D16"/>
    <mergeCell ref="A17:B17"/>
    <mergeCell ref="A27:A30"/>
    <mergeCell ref="C27:C29"/>
    <mergeCell ref="A31:B31"/>
    <mergeCell ref="A32:B32"/>
    <mergeCell ref="A33:B33"/>
    <mergeCell ref="A34:B34"/>
    <mergeCell ref="A35:B35"/>
    <mergeCell ref="A36:B36"/>
    <mergeCell ref="A37:B37"/>
    <mergeCell ref="A38:B38"/>
    <mergeCell ref="A39:A42"/>
    <mergeCell ref="A43:A45"/>
    <mergeCell ref="A46:A48"/>
    <mergeCell ref="A49:A51"/>
    <mergeCell ref="A52:A54"/>
    <mergeCell ref="A55:A56"/>
    <mergeCell ref="A57:A59"/>
    <mergeCell ref="A60:A61"/>
    <mergeCell ref="A63:B63"/>
    <mergeCell ref="A64:B64"/>
    <mergeCell ref="A65:B65"/>
    <mergeCell ref="A66:B66"/>
    <mergeCell ref="A67:B67"/>
    <mergeCell ref="A68:B68"/>
    <mergeCell ref="A69:B69"/>
    <mergeCell ref="A70:B70"/>
    <mergeCell ref="A71:B71"/>
    <mergeCell ref="A72:E72"/>
    <mergeCell ref="A73:E74"/>
    <mergeCell ref="A75:B75"/>
    <mergeCell ref="C75:E75"/>
    <mergeCell ref="D76:E76"/>
    <mergeCell ref="D77:E77"/>
    <mergeCell ref="D78:E78"/>
    <mergeCell ref="D79:E79"/>
  </mergeCells>
  <dataValidations count="22">
    <dataValidation allowBlank="true" errorStyle="stop" operator="between" showDropDown="false" showErrorMessage="true" showInputMessage="true" sqref="A11 IW11 SS11 ACO11 AMK11 AWG11 BGC11 BPY11 BZU11 CJQ11 CTM11 DDI11 DNE11 DXA11 EGW11 EQS11 FAO11 FKK11 FUG11 GEC11 GNY11 GXU11 HHQ11 HRM11 IBI11 ILE11 IVA11 JEW11 JOS11 JYO11 KIK11 KSG11 LCC11 LLY11 LVU11 MFQ11 MPM11 MZI11 NJE11 NTA11 OCW11 OMS11 OWO11 PGK11 PQG11 QAC11 QJY11 QTU11 RDQ11 RNM11 RXI11 SHE11 SRA11 TAW11 TKS11 TUO11 UEK11 UOG11 UYC11 VHY11 VRU11 WBQ11 WLM11 WVI11" type="list">
      <formula1>"DTS ,AgriT/L,Constr T/L,Import T/L,Import overdraft,Export T/L,Export Overdraft,Revolving Preshipment,Onetime preshipment,Revolving Merchandise,OnetimeMerchandise,Revolving Bank Guarantee,Onetime Bank Guarante,Import LC margin,Temporary overdraft"</formula1>
      <formula2>0</formula2>
    </dataValidation>
    <dataValidation allowBlank="true" errorStyle="stop" operator="between" showDropDown="false" showErrorMessage="true" showInputMessage="true" sqref="A12 IW12 SS12 ACO12 AMK12 AWG12 BGC12 BPY12 BZU12 CJQ12 CTM12 DDI12 DNE12 DXA12 EGW12 EQS12 FAO12 FKK12 FUG12 GEC12 GNY12 GXU12 HHQ12 HRM12 IBI12 ILE12 IVA12 JEW12 JOS12 JYO12 KIK12 KSG12 LCC12 LLY12 LVU12 MFQ12 MPM12 MZI12 NJE12 NTA12 OCW12 OMS12 OWO12 PGK12 PQG12 QAC12 QJY12 QTU12 RDQ12 RNM12 RXI12 SHE12 SRA12 TAW12 TKS12 TUO12 UEK12 UOG12 UYC12 VHY12 VRU12 WBQ12 WLM12 WVI12" type="list">
      <formula1>"t,AgriT/L,Constr T/L,Import T/L,Import overdraft,Export T/L,Export Overdraft,Revolving Preshipment,Onetime preshipment,Revolving Merchandise,OnetimeMerchandise,Revolving Bank Guarantee,Onetime Bank Guarante,Import LC margin"</formula1>
      <formula2>0</formula2>
    </dataValidation>
    <dataValidation allowBlank="true" errorStyle="stop" operator="between" showDropDown="false" showErrorMessage="true" showInputMessage="true" sqref="A13 IW13 SS13 ACO13 AMK13 AWG13 BGC13 BPY13 BZU13 CJQ13 CTM13 DDI13 DNE13 DXA13 EGW13 EQS13 FAO13 FKK13 FUG13 GEC13 GNY13 GXU13 HHQ13 HRM13 IBI13 ILE13 IVA13 JEW13 JOS13 JYO13 KIK13 KSG13 LCC13 LLY13 LVU13 MFQ13 MPM13 MZI13 NJE13 NTA13 OCW13 OMS13 OWO13 PGK13 PQG13 QAC13 QJY13 QTU13 RDQ13 RNM13 RXI13 SHE13 SRA13 TAW13 TKS13 TUO13 UEK13 UOG13 UYC13 VHY13 VRU13 WBQ13 WLM13 WVI13" type="list">
      <formula1>"DTS T/L,Mfg T/L,Agri T/L,Cons T/L,Imp T/L,Exp T/L,Overdraft,Temporary overdraft,Revolving Presh,Onetime presh,Revolving merchandise,ontime merchandise,Bank Guarantee,"</formula1>
      <formula2>0</formula2>
    </dataValidation>
    <dataValidation allowBlank="true" errorStyle="stop" operator="between" showDropDown="false" showErrorMessage="true" showInputMessage="true" sqref="D62 IZ62 SV62 ACR62 AMN62 AWJ62 BGF62 BQB62 BZX62 CJT62 CTP62 DDL62 DNH62 DXD62 EGZ62 EQV62 FAR62 FKN62 FUJ62 GEF62 GOB62 GXX62 HHT62 HRP62 IBL62 ILH62 IVD62 JEZ62 JOV62 JYR62 KIN62 KSJ62 LCF62 LMB62 LVX62 MFT62 MPP62 MZL62 NJH62 NTD62 OCZ62 OMV62 OWR62 PGN62 PQJ62 QAF62 QKB62 QTX62 RDT62 RNP62 RXL62 SHH62 SRD62 TAZ62 TKV62 TUR62 UEN62 UOJ62 UYF62 VIB62 VRX62 WBT62 WLP62 WVL62" type="list">
      <formula1>"SS,PP,SW,BY"</formula1>
      <formula2>0</formula2>
    </dataValidation>
    <dataValidation allowBlank="true" errorStyle="stop" operator="between" showDropDown="false" showErrorMessage="true" showInputMessage="true" sqref="D61 IZ61 SV61 ACR61 AMN61 AWJ61 BGF61 BQB61 BZX61 CJT61 CTP61 DDL61 DNH61 DXD61 EGZ61 EQV61 FAR61 FKN61 FUJ61 GEF61 GOB61 GXX61 HHT61 HRP61 IBL61 ILH61 IVD61 JEZ61 JOV61 JYR61 KIN61 KSJ61 LCF61 LMB61 LVX61 MFT61 MPP61 MZL61 NJH61 NTD61 OCZ61 OMV61 OWR61 PGN61 PQJ61 QAF61 QKB61 QTX61 RDT61 RNP61 RXL61 SHH61 SRD61 TAZ61 TKV61 TUR61 UEN61 UOJ61 UYF61 VIB61 VRX61 WBT61 WLP61 WVL61" type="list">
      <formula1>"WC,AC"</formula1>
      <formula2>0</formula2>
    </dataValidation>
    <dataValidation allowBlank="true" errorStyle="stop" operator="between" showDropDown="false" showErrorMessage="true" showInputMessage="true" sqref="D54 IZ54 SV54 ACR54 AMN54 AWJ54 BGF54 BQB54 BZX54 CJT54 CTP54 DDL54 DNH54 DXD54 EGZ54 EQV54 FAR54 FKN54 FUJ54 GEF54 GOB54 GXX54 HHT54 HRP54 IBL54 ILH54 IVD54 JEZ54 JOV54 JYR54 KIN54 KSJ54 LCF54 LMB54 LVX54 MFT54 MPP54 MZL54 NJH54 NTD54 OCZ54 OMV54 OWR54 PGN54 PQJ54 QAF54 QKB54 QTX54 RDT54 RNP54 RXL54 SHH54 SRD54 TAZ54 TKV54 TUR54 UEN54 UOJ54 UYF54 VIB54 VRX54 WBT54 WLP54 WVL54 D58 IZ58 SV58 ACR58 AMN58 AWJ58 BGF58 BQB58 BZX58 CJT58 CTP58 DDL58 DNH58 DXD58 EGZ58 EQV58 FAR58 FKN58 FUJ58 GEF58 GOB58 GXX58 HHT58 HRP58 IBL58 ILH58 IVD58 JEZ58 JOV58 JYR58 KIN58 KSJ58 LCF58 LMB58 LVX58 MFT58 MPP58 MZL58 NJH58 NTD58 OCZ58 OMV58 OWR58 PGN58 PQJ58 QAF58 QKB58 QTX58 RDT58 RNP58 RXL58 SHH58 SRD58 TAZ58 TKV58 TUR58 UEN58 UOJ58 UYF58 VIB58 VRX58 WBT58 WLP58 WVL58" type="list">
      <formula1>"EX,VG,WK"</formula1>
      <formula2>0</formula2>
    </dataValidation>
    <dataValidation allowBlank="true" errorStyle="stop" operator="between" showDropDown="false" showErrorMessage="true" showInputMessage="true" sqref="D45 IZ45 SV45 ACR45 AMN45 AWJ45 BGF45 BQB45 BZX45 CJT45 CTP45 DDL45 DNH45 DXD45 EGZ45 EQV45 FAR45 FKN45 FUJ45 GEF45 GOB45 GXX45 HHT45 HRP45 IBL45 ILH45 IVD45 JEZ45 JOV45 JYR45 KIN45 KSJ45 LCF45 LMB45 LVX45 MFT45 MPP45 MZL45 NJH45 NTD45 OCZ45 OMV45 OWR45 PGN45 PQJ45 QAF45 QKB45 QTX45 RDT45 RNP45 RXL45 SHH45 SRD45 TAZ45 TKV45 TUR45 UEN45 UOJ45 UYF45 VIB45 VRX45 WBT45 WLP45 WVL45" type="list">
      <formula1>"EX,VG,GD,WK,"</formula1>
      <formula2>0</formula2>
    </dataValidation>
    <dataValidation allowBlank="true" errorStyle="stop" operator="between" showDropDown="false" showErrorMessage="true" showInputMessage="true" sqref="D41 IZ41 SV41 ACR41 AMN41 AWJ41 BGF41 BQB41 BZX41 CJT41 CTP41 DDL41 DNH41 DXD41 EGZ41 EQV41 FAR41 FKN41 FUJ41 GEF41 GOB41 GXX41 HHT41 HRP41 IBL41 ILH41 IVD41 JEZ41 JOV41 JYR41 KIN41 KSJ41 LCF41 LMB41 LVX41 MFT41 MPP41 MZL41 NJH41 NTD41 OCZ41 OMV41 OWR41 PGN41 PQJ41 QAF41 QKB41 QTX41 RDT41 RNP41 RXL41 SHH41 SRD41 TAZ41 TKV41 TUR41 UEN41 UOJ41 UYF41 VIB41 VRX41 WBT41 WLP41 WVL41" type="list">
      <formula1>"EX,VG,GD,,"</formula1>
      <formula2>0</formula2>
    </dataValidation>
    <dataValidation allowBlank="true" errorStyle="stop" operator="between" showDropDown="false" showErrorMessage="true" showInputMessage="true" sqref="D42 IZ42 SV42 ACR42 AMN42 AWJ42 BGF42 BQB42 BZX42 CJT42 CTP42 DDL42 DNH42 DXD42 EGZ42 EQV42 FAR42 FKN42 FUJ42 GEF42 GOB42 GXX42 HHT42 HRP42 IBL42 ILH42 IVD42 JEZ42 JOV42 JYR42 KIN42 KSJ42 LCF42 LMB42 LVX42 MFT42 MPP42 MZL42 NJH42 NTD42 OCZ42 OMV42 OWR42 PGN42 PQJ42 QAF42 QKB42 QTX42 RDT42 RNP42 RXL42 SHH42 SRD42 TAZ42 TKV42 TUR42 UEN42 UOJ42 UYF42 VIB42 VRX42 WBT42 WLP42 WVL42" type="list">
      <formula1>"EX,VG,GD,"</formula1>
      <formula2>0</formula2>
    </dataValidation>
    <dataValidation allowBlank="true" errorStyle="stop" operator="between" showDropDown="false" showErrorMessage="true" showInputMessage="true" sqref="B19:B26 IX19:IX26 ST19:ST26 ACP19:ACP26 AML19:AML26 AWH19:AWH26 BGD19:BGD26 BPZ19:BPZ26 BZV19:BZV26 CJR19:CJR26 CTN19:CTN26 DDJ19:DDJ26 DNF19:DNF26 DXB19:DXB26 EGX19:EGX26 EQT19:EQT26 FAP19:FAP26 FKL19:FKL26 FUH19:FUH26 GED19:GED26 GNZ19:GNZ26 GXV19:GXV26 HHR19:HHR26 HRN19:HRN26 IBJ19:IBJ26 ILF19:ILF26 IVB19:IVB26 JEX19:JEX26 JOT19:JOT26 JYP19:JYP26 KIL19:KIL26 KSH19:KSH26 LCD19:LCD26 LLZ19:LLZ26 LVV19:LVV26 MFR19:MFR26 MPN19:MPN26 MZJ19:MZJ26 NJF19:NJF26 NTB19:NTB26 OCX19:OCX26 OMT19:OMT26 OWP19:OWP26 PGL19:PGL26 PQH19:PQH26 QAD19:QAD26 QJZ19:QJZ26 QTV19:QTV26 RDR19:RDR26 RNN19:RNN26 RXJ19:RXJ26 SHF19:SHF26 SRB19:SRB26 TAX19:TAX26 TKT19:TKT26 TUP19:TUP26 UEL19:UEL26 UOH19:UOH26 UYD19:UYD26 VHZ19:VHZ26 VRV19:VRV26 WBR19:WBR26 WLN19:WLN26 WVJ19:WVJ26" type="list">
      <formula1>"Manufacturing,Agriculture,Construction,DTS,Import Export"</formula1>
      <formula2>0</formula2>
    </dataValidation>
    <dataValidation allowBlank="true" errorStyle="stop" operator="between" showDropDown="false" showErrorMessage="true" showInputMessage="true"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type="list">
      <formula1>"Manufacturing,Agriculture,Construction,DTS,Import/Export"</formula1>
      <formula2>0</formula2>
    </dataValidation>
    <dataValidation allowBlank="true" errorStyle="stop" operator="between" showDropDown="false" showErrorMessage="true" showInputMessage="true" sqref="D67 IZ67 SV67 ACR67 AMN67 AWJ67 BGF67 BQB67 BZX67 CJT67 CTP67 DDL67 DNH67 DXD67 EGZ67 EQV67 FAR67 FKN67 FUJ67 GEF67 GOB67 GXX67 HHT67 HRP67 IBL67 ILH67 IVD67 JEZ67 JOV67 JYR67 KIN67 KSJ67 LCF67 LMB67 LVX67 MFT67 MPP67 MZL67 NJH67 NTD67 OCZ67 OMV67 OWR67 PGN67 PQJ67 QAF67 QKB67 QTX67 RDT67 RNP67 RXL67 SHH67 SRD67 TAZ67 TKV67 TUR67 UEN67 UOJ67 UYF67 VIB67 VRX67 WBT67 WLP67 WVL67" type="list">
      <formula1>"YES,NO"</formula1>
      <formula2>0</formula2>
    </dataValidation>
    <dataValidation allowBlank="true" errorStyle="stop" operator="between" showDropDown="false" showErrorMessage="true" showInputMessage="true" sqref="D66 IZ66 SV66 ACR66 AMN66 AWJ66 BGF66 BQB66 BZX66 CJT66 CTP66 DDL66 DNH66 DXD66 EGZ66 EQV66 FAR66 FKN66 FUJ66 GEF66 GOB66 GXX66 HHT66 HRP66 IBL66 ILH66 IVD66 JEZ66 JOV66 JYR66 KIN66 KSJ66 LCF66 LMB66 LVX66 MFT66 MPP66 MZL66 NJH66 NTD66 OCZ66 OMV66 OWR66 PGN66 PQJ66 QAF66 QKB66 QTX66 RDT66 RNP66 RXL66 SHH66 SRD66 TAZ66 TKV66 TUR66 UEN66 UOJ66 UYF66 VIB66 VRX66 WBT66 WLP66 WVL66" type="list">
      <formula1>"HIGH,MEDIUM,LOW,NA"</formula1>
      <formula2>0</formula2>
    </dataValidation>
    <dataValidation allowBlank="true" errorStyle="stop" operator="between" showDropDown="false" showErrorMessage="true" showInputMessage="true" sqref="D44 IZ44 SV44 ACR44 AMN44 AWJ44 BGF44 BQB44 BZX44 CJT44 CTP44 DDL44 DNH44 DXD44 EGZ44 EQV44 FAR44 FKN44 FUJ44 GEF44 GOB44 GXX44 HHT44 HRP44 IBL44 ILH44 IVD44 JEZ44 JOV44 JYR44 KIN44 KSJ44 LCF44 LMB44 LVX44 MFT44 MPP44 MZL44 NJH44 NTD44 OCZ44 OMV44 OWR44 PGN44 PQJ44 QAF44 QKB44 QTX44 RDT44 RNP44 RXL44 SHH44 SRD44 TAZ44 TKV44 TUR44 UEN44 UOJ44 UYF44 VIB44 VRX44 WBT44 WLP44 WVL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51 IZ51 SV51 ACR51 AMN51 AWJ51 BGF51 BQB51 BZX51 CJT51 CTP51 DDL51 DNH51 DXD51 EGZ51 EQV51 FAR51 FKN51 FUJ51 GEF51 GOB51 GXX51 HHT51 HRP51 IBL51 ILH51 IVD51 JEZ51 JOV51 JYR51 KIN51 KSJ51 LCF51 LMB51 LVX51 MFT51 MPP51 MZL51 NJH51 NTD51 OCZ51 OMV51 OWR51 PGN51 PQJ51 QAF51 QKB51 QTX51 RDT51 RNP51 RXL51 SHH51 SRD51 TAZ51 TKV51 TUR51 UEN51 UOJ51 UYF51 VIB51 VRX51 WBT51 WLP51 WVL51" type="list">
      <formula1>"EX,VG,GD,WK,NA"</formula1>
      <formula2>0</formula2>
    </dataValidation>
    <dataValidation allowBlank="true" errorStyle="stop" operator="between" showDropDown="false" showErrorMessage="true" showInputMessage="true"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type="list">
      <formula1>"READY,NO"</formula1>
      <formula2>0</formula2>
    </dataValidation>
    <dataValidation allowBlank="true" errorStyle="stop" operator="between" showDropDown="false" showErrorMessage="true" showInputMessage="true" sqref="D35:D36 IZ35:IZ36 SV35:SV36 ACR35:ACR36 AMN35:AMN36 AWJ35:AWJ36 BGF35:BGF36 BQB35:BQB36 BZX35:BZX36 CJT35:CJT36 CTP35:CTP36 DDL35:DDL36 DNH35:DNH36 DXD35:DXD36 EGZ35:EGZ36 EQV35:EQV36 FAR35:FAR36 FKN35:FKN36 FUJ35:FUJ36 GEF35:GEF36 GOB35:GOB36 GXX35:GXX36 HHT35:HHT36 HRP35:HRP36 IBL35:IBL36 ILH35:ILH36 IVD35:IVD36 JEZ35:JEZ36 JOV35:JOV36 JYR35:JYR36 KIN35:KIN36 KSJ35:KSJ36 LCF35:LCF36 LMB35:LMB36 LVX35:LVX36 MFT35:MFT36 MPP35:MPP36 MZL35:MZL36 NJH35:NJH36 NTD35:NTD36 OCZ35:OCZ36 OMV35:OMV36 OWR35:OWR36 PGN35:PGN36 PQJ35:PQJ36 QAF35:QAF36 QKB35:QKB36 QTX35:QTX36 RDT35:RDT36 RNP35:RNP36 RXL35:RXL36 SHH35:SHH36 SRD35:SRD36 TAZ35:TAZ36 TKV35:TKV36 TUR35:TUR36 UEN35:UEN36 UOJ35:UOJ36 UYF35:UYF36 VIB35:VIB36 VRX35:VRX36 WBT35:WBT36 WLP35:WLP36 WVL35:WVL36" type="list">
      <formula1>"EX,VG,GD,WK"</formula1>
      <formula2>0</formula2>
    </dataValidation>
    <dataValidation allowBlank="true" errorStyle="stop" operator="between" showDropDown="false" showErrorMessage="true" showInputMessage="true" sqref="D30 IZ30 SV30 ACR30 AMN30 AWJ30 BGF30 BQB30 BZX30 CJT30 CTP30 DDL30 DNH30 DXD30 EGZ30 EQV30 FAR30 FKN30 FUJ30 GEF30 GOB30 GXX30 HHT30 HRP30 IBL30 ILH30 IVD30 JEZ30 JOV30 JYR30 KIN30 KSJ30 LCF30 LMB30 LVX30 MFT30 MPP30 MZL30 NJH30 NTD30 OCZ30 OMV30 OWR30 PGN30 PQJ30 QAF30 QKB30 QTX30 RDT30 RNP30 RXL30 SHH30 SRD30 TAZ30 TKV30 TUR30 UEN30 UOJ30 UYF30 VIB30 VRX30 WBT30 WLP30 WVL30" type="list">
      <formula1>"YES,NA,"</formula1>
      <formula2>0</formula2>
    </dataValidation>
    <dataValidation allowBlank="true" errorStyle="stop" operator="between" showDropDown="false" showErrorMessage="true" showInputMessage="true" sqref="D29 IZ29 SV29 ACR29 AMN29 AWJ29 BGF29 BQB29 BZX29 CJT29 CTP29 DDL29 DNH29 DXD29 EGZ29 EQV29 FAR29 FKN29 FUJ29 GEF29 GOB29 GXX29 HHT29 HRP29 IBL29 ILH29 IVD29 JEZ29 JOV29 JYR29 KIN29 KSJ29 LCF29 LMB29 LVX29 MFT29 MPP29 MZL29 NJH29 NTD29 OCZ29 OMV29 OWR29 PGN29 PQJ29 QAF29 QKB29 QTX29 RDT29 RNP29 RXL29 SHH29 SRD29 TAZ29 TKV29 TUR29 UEN29 UOJ29 UYF29 VIB29 VRX29 WBT29 WLP29 WVL29" type="list">
      <formula1>"MJ,MN,NA"</formula1>
      <formula2>0</formula2>
    </dataValidation>
    <dataValidation allowBlank="true" errorStyle="stop" operator="between" showDropDown="false" showErrorMessage="true" showInputMessage="true" sqref="D28 IZ28 SV28 ACR28 AMN28 AWJ28 BGF28 BQB28 BZX28 CJT28 CTP28 DDL28 DNH28 DXD28 EGZ28 EQV28 FAR28 FKN28 FUJ28 GEF28 GOB28 GXX28 HHT28 HRP28 IBL28 ILH28 IVD28 JEZ28 JOV28 JYR28 KIN28 KSJ28 LCF28 LMB28 LVX28 MFT28 MPP28 MZL28 NJH28 NTD28 OCZ28 OMV28 OWR28 PGN28 PQJ28 QAF28 QKB28 QTX28 RDT28 RNP28 RXL28 SHH28 SRD28 TAZ28 TKV28 TUR28 UEN28 UOJ28 UYF28 VIB28 VRX28 WBT28 WLP28 WVL28" type="list">
      <formula1>"EX,VG,CCR,NA"</formula1>
      <formula2>0</formula2>
    </dataValidation>
    <dataValidation allowBlank="true" errorStyle="stop" operator="between" showDropDown="false" showErrorMessage="true" showInputMessage="true" sqref="D27 IZ27 SV27 ACR27 AMN27 AWJ27 BGF27 BQB27 BZX27 CJT27 CTP27 DDL27 DNH27 DXD27 EGZ27 EQV27 FAR27 FKN27 FUJ27 GEF27 GOB27 GXX27 HHT27 HRP27 IBL27 ILH27 IVD27 JEZ27 JOV27 JYR27 KIN27 KSJ27 LCF27 LMB27 LVX27 MFT27 MPP27 MZL27 NJH27 NTD27 OCZ27 OMV27 OWR27 PGN27 PQJ27 QAF27 QKB27 QTX27 RDT27 RNP27 RXL27 SHH27 SRD27 TAZ27 TKV27 TUR27 UEN27 UOJ27 UYF27 VIB27 VRX27 WBT27 WLP27 WVL27" type="list">
      <formula1>"EX,VG,GD,FR,CCR,NA"</formula1>
      <formula2>0</formula2>
    </dataValidation>
    <dataValidation allowBlank="true" errorStyle="warning" errorTitle="Growth" operator="between" showDropDown="false" showErrorMessage="true" showInputMessage="true" sqref="D32 IZ32 SV32 ACR32 AMN32 AWJ32 BGF32 BQB32 BZX32 CJT32 CTP32 DDL32 DNH32 DXD32 EGZ32 EQV32 FAR32 FKN32 FUJ32 GEF32 GOB32 GXX32 HHT32 HRP32 IBL32 ILH32 IVD32 JEZ32 JOV32 JYR32 KIN32 KSJ32 LCF32 LMB32 LVX32 MFT32 MPP32 MZL32 NJH32 NTD32 OCZ32 OMV32 OWR32 PGN32 PQJ32 QAF32 QKB32 QTX32 RDT32 RNP32 RXL32 SHH32 SRD32 TAZ32 TKV32 TUR32 UEN32 UOJ32 UYF32 VIB32 VRX32 WBT32 WLP32 WVL32" type="list">
      <formula1>"FAVOURABLE,STABLE,UNSTABLE"</formula1>
      <formula2>0</formula2>
    </dataValidation>
    <dataValidation allowBlank="true" errorStyle="warning" errorTitle="Share" operator="between" showDropDown="false" showErrorMessage="true" showInputMessage="true" sqref="D33 IZ33 SV33 ACR33 AMN33 AWJ33 BGF33 BQB33 BZX33 CJT33 CTP33 DDL33 DNH33 DXD33 EGZ33 EQV33 FAR33 FKN33 FUJ33 GEF33 GOB33 GXX33 HHT33 HRP33 IBL33 ILH33 IVD33 JEZ33 JOV33 JYR33 KIN33 KSJ33 LCF33 LMB33 LVX33 MFT33 MPP33 MZL33 NJH33 NTD33 OCZ33 OMV33 OWR33 PGN33 PQJ33 QAF33 QKB33 QTX33 RDT33 RNP33 RXL33 SHH33 SRD33 TAZ33 TKV33 TUR33 UEN33 UOJ33 UYF33 VIB33 VRX33 WBT33 WLP33 WVL33" type="list">
      <formula1>"DOMINANT,AVERAGE,WEAK"</formula1>
      <formula2>0</formula2>
    </dataValidation>
  </dataValidations>
  <printOptions headings="false" gridLines="false" gridLinesSet="true" horizontalCentered="false" verticalCentered="false"/>
  <pageMargins left="0.270138888888889" right="0.240277777777778" top="0.75" bottom="0.75" header="0.511811023622047" footer="0.511811023622047"/>
  <pageSetup paperSize="9" scale="64"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53"/>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C5" activeCellId="0" sqref="C5"/>
    </sheetView>
  </sheetViews>
  <sheetFormatPr defaultColWidth="8.59765625" defaultRowHeight="14.25" customHeight="true" zeroHeight="false" outlineLevelRow="0" outlineLevelCol="0"/>
  <cols>
    <col collapsed="false" customWidth="true" hidden="false" outlineLevel="0" max="2" min="2" style="0" width="19.09"/>
    <col collapsed="false" customWidth="true" hidden="false" outlineLevel="0" max="3" min="3" style="0" width="15.09"/>
    <col collapsed="false" customWidth="true" hidden="false" outlineLevel="0" max="4" min="4" style="0" width="12.09"/>
    <col collapsed="false" customWidth="true" hidden="false" outlineLevel="0" max="5" min="5" style="0" width="13.36"/>
    <col collapsed="false" customWidth="true" hidden="false" outlineLevel="0" max="6" min="6" style="0" width="11.91"/>
    <col collapsed="false" customWidth="true" hidden="false" outlineLevel="0" max="7" min="7" style="0" width="13.9"/>
    <col collapsed="false" customWidth="true" hidden="false" outlineLevel="0" max="9" min="9" style="0" width="18.09"/>
    <col collapsed="false" customWidth="true" hidden="false" outlineLevel="0" max="10" min="10" style="0" width="10.82"/>
  </cols>
  <sheetData>
    <row r="1" customFormat="false" ht="15" hidden="false" customHeight="false" outlineLevel="0" collapsed="false">
      <c r="B1" s="116"/>
      <c r="C1" s="116"/>
      <c r="D1" s="116"/>
      <c r="E1" s="116"/>
      <c r="F1" s="116"/>
      <c r="G1" s="116"/>
      <c r="H1" s="116"/>
    </row>
    <row r="2" customFormat="false" ht="17.9" hidden="false" customHeight="true" outlineLevel="0" collapsed="false">
      <c r="B2" s="117" t="s">
        <v>104</v>
      </c>
      <c r="C2" s="117" t="s">
        <v>105</v>
      </c>
      <c r="D2" s="117"/>
      <c r="E2" s="117"/>
      <c r="F2" s="117"/>
      <c r="G2" s="117"/>
      <c r="H2" s="117"/>
      <c r="I2" s="118" t="s">
        <v>106</v>
      </c>
      <c r="J2" s="119" t="s">
        <v>107</v>
      </c>
    </row>
    <row r="3" customFormat="false" ht="42" hidden="false" customHeight="true" outlineLevel="0" collapsed="false">
      <c r="B3" s="120"/>
      <c r="C3" s="121" t="s">
        <v>108</v>
      </c>
      <c r="D3" s="121" t="s">
        <v>109</v>
      </c>
      <c r="E3" s="121" t="s">
        <v>110</v>
      </c>
      <c r="F3" s="121" t="s">
        <v>111</v>
      </c>
      <c r="G3" s="121" t="s">
        <v>112</v>
      </c>
      <c r="H3" s="121" t="s">
        <v>113</v>
      </c>
      <c r="I3" s="118"/>
      <c r="J3" s="119"/>
    </row>
    <row r="4" customFormat="false" ht="15.75" hidden="false" customHeight="true" outlineLevel="0" collapsed="false">
      <c r="B4" s="117" t="s">
        <v>114</v>
      </c>
      <c r="C4" s="117"/>
      <c r="D4" s="117"/>
      <c r="E4" s="117"/>
      <c r="F4" s="117"/>
      <c r="G4" s="117"/>
      <c r="H4" s="117"/>
      <c r="I4" s="117"/>
      <c r="J4" s="122" t="s">
        <v>115</v>
      </c>
    </row>
    <row r="5" customFormat="false" ht="15.75" hidden="false" customHeight="true" outlineLevel="0" collapsed="false">
      <c r="B5" s="117" t="s">
        <v>116</v>
      </c>
      <c r="C5" s="120" t="s">
        <v>117</v>
      </c>
      <c r="D5" s="120" t="s">
        <v>117</v>
      </c>
      <c r="E5" s="120" t="s">
        <v>118</v>
      </c>
      <c r="F5" s="120" t="s">
        <v>119</v>
      </c>
      <c r="G5" s="120" t="s">
        <v>117</v>
      </c>
      <c r="H5" s="123" t="n">
        <v>0.06</v>
      </c>
      <c r="I5" s="122" t="s">
        <v>120</v>
      </c>
      <c r="J5" s="122"/>
    </row>
    <row r="6" customFormat="false" ht="17.9" hidden="false" customHeight="false" outlineLevel="0" collapsed="false">
      <c r="B6" s="117"/>
      <c r="C6" s="120" t="s">
        <v>121</v>
      </c>
      <c r="D6" s="120" t="s">
        <v>121</v>
      </c>
      <c r="E6" s="120" t="s">
        <v>122</v>
      </c>
      <c r="F6" s="120" t="s">
        <v>123</v>
      </c>
      <c r="G6" s="120" t="s">
        <v>121</v>
      </c>
      <c r="H6" s="123" t="n">
        <v>0.04</v>
      </c>
      <c r="I6" s="122"/>
      <c r="J6" s="122"/>
    </row>
    <row r="7" customFormat="false" ht="17.9" hidden="false" customHeight="false" outlineLevel="0" collapsed="false">
      <c r="B7" s="117"/>
      <c r="C7" s="120" t="s">
        <v>124</v>
      </c>
      <c r="D7" s="120" t="s">
        <v>124</v>
      </c>
      <c r="E7" s="120" t="s">
        <v>125</v>
      </c>
      <c r="F7" s="120" t="s">
        <v>126</v>
      </c>
      <c r="G7" s="120" t="s">
        <v>124</v>
      </c>
      <c r="H7" s="123" t="n">
        <v>0.02</v>
      </c>
      <c r="I7" s="122"/>
      <c r="J7" s="122"/>
    </row>
    <row r="8" customFormat="false" ht="17.9" hidden="false" customHeight="false" outlineLevel="0" collapsed="false">
      <c r="B8" s="117"/>
      <c r="C8" s="120" t="s">
        <v>127</v>
      </c>
      <c r="D8" s="120" t="s">
        <v>127</v>
      </c>
      <c r="E8" s="120" t="s">
        <v>127</v>
      </c>
      <c r="F8" s="120" t="s">
        <v>128</v>
      </c>
      <c r="G8" s="120" t="s">
        <v>127</v>
      </c>
      <c r="H8" s="123" t="n">
        <v>0</v>
      </c>
      <c r="I8" s="122"/>
      <c r="J8" s="122"/>
    </row>
    <row r="9" customFormat="false" ht="15" hidden="false" customHeight="true" outlineLevel="0" collapsed="false">
      <c r="B9" s="117" t="s">
        <v>129</v>
      </c>
      <c r="C9" s="120" t="s">
        <v>130</v>
      </c>
      <c r="D9" s="120" t="s">
        <v>131</v>
      </c>
      <c r="E9" s="120" t="s">
        <v>132</v>
      </c>
      <c r="F9" s="120" t="s">
        <v>133</v>
      </c>
      <c r="G9" s="120" t="s">
        <v>130</v>
      </c>
      <c r="H9" s="123" t="n">
        <v>0.05</v>
      </c>
      <c r="I9" s="122"/>
      <c r="J9" s="122"/>
    </row>
    <row r="10" customFormat="false" ht="17.9" hidden="false" customHeight="false" outlineLevel="0" collapsed="false">
      <c r="B10" s="117"/>
      <c r="C10" s="120" t="s">
        <v>134</v>
      </c>
      <c r="D10" s="120" t="s">
        <v>135</v>
      </c>
      <c r="E10" s="120" t="s">
        <v>136</v>
      </c>
      <c r="F10" s="120" t="s">
        <v>137</v>
      </c>
      <c r="G10" s="120" t="s">
        <v>138</v>
      </c>
      <c r="H10" s="123" t="n">
        <v>0.04</v>
      </c>
      <c r="I10" s="122"/>
      <c r="J10" s="122"/>
    </row>
    <row r="11" customFormat="false" ht="16.5" hidden="false" customHeight="true" outlineLevel="0" collapsed="false">
      <c r="B11" s="117"/>
      <c r="C11" s="120" t="s">
        <v>139</v>
      </c>
      <c r="D11" s="120" t="s">
        <v>140</v>
      </c>
      <c r="E11" s="120" t="s">
        <v>141</v>
      </c>
      <c r="F11" s="120" t="s">
        <v>142</v>
      </c>
      <c r="G11" s="120" t="s">
        <v>139</v>
      </c>
      <c r="H11" s="123" t="n">
        <v>0.03</v>
      </c>
      <c r="I11" s="122"/>
      <c r="J11" s="122"/>
    </row>
    <row r="12" customFormat="false" ht="16.5" hidden="false" customHeight="true" outlineLevel="0" collapsed="false">
      <c r="B12" s="117"/>
      <c r="C12" s="120" t="s">
        <v>143</v>
      </c>
      <c r="D12" s="120" t="s">
        <v>144</v>
      </c>
      <c r="E12" s="120" t="s">
        <v>145</v>
      </c>
      <c r="F12" s="120" t="s">
        <v>146</v>
      </c>
      <c r="G12" s="120" t="s">
        <v>147</v>
      </c>
      <c r="H12" s="123" t="n">
        <v>0.02</v>
      </c>
      <c r="I12" s="122"/>
      <c r="J12" s="122"/>
    </row>
    <row r="13" customFormat="false" ht="17.9" hidden="false" customHeight="false" outlineLevel="0" collapsed="false">
      <c r="B13" s="117"/>
      <c r="C13" s="120" t="s">
        <v>148</v>
      </c>
      <c r="D13" s="120" t="s">
        <v>149</v>
      </c>
      <c r="E13" s="120" t="s">
        <v>148</v>
      </c>
      <c r="F13" s="120" t="s">
        <v>148</v>
      </c>
      <c r="G13" s="120" t="s">
        <v>148</v>
      </c>
      <c r="H13" s="123" t="n">
        <v>0</v>
      </c>
      <c r="I13" s="122"/>
      <c r="J13" s="122"/>
    </row>
    <row r="14" customFormat="false" ht="12.75" hidden="false" customHeight="true" outlineLevel="0" collapsed="false">
      <c r="B14" s="117" t="s">
        <v>150</v>
      </c>
      <c r="C14" s="117"/>
      <c r="D14" s="117"/>
      <c r="E14" s="117"/>
      <c r="F14" s="117"/>
      <c r="G14" s="117"/>
      <c r="H14" s="117"/>
      <c r="I14" s="117"/>
      <c r="J14" s="122"/>
    </row>
    <row r="15" customFormat="false" ht="17.25" hidden="false" customHeight="true" outlineLevel="0" collapsed="false">
      <c r="B15" s="117" t="s">
        <v>151</v>
      </c>
      <c r="C15" s="120" t="s">
        <v>152</v>
      </c>
      <c r="D15" s="124" t="s">
        <v>153</v>
      </c>
      <c r="E15" s="124" t="s">
        <v>154</v>
      </c>
      <c r="F15" s="120" t="s">
        <v>154</v>
      </c>
      <c r="G15" s="120" t="s">
        <v>155</v>
      </c>
      <c r="H15" s="123" t="n">
        <v>0.03</v>
      </c>
      <c r="I15" s="122" t="str">
        <f aca="false">I5</f>
        <v>Financial Statements</v>
      </c>
      <c r="J15" s="122"/>
    </row>
    <row r="16" customFormat="false" ht="16.5" hidden="false" customHeight="true" outlineLevel="0" collapsed="false">
      <c r="B16" s="117"/>
      <c r="C16" s="120" t="s">
        <v>156</v>
      </c>
      <c r="D16" s="120" t="s">
        <v>157</v>
      </c>
      <c r="E16" s="120" t="s">
        <v>158</v>
      </c>
      <c r="F16" s="120" t="s">
        <v>157</v>
      </c>
      <c r="G16" s="120" t="s">
        <v>159</v>
      </c>
      <c r="H16" s="125" t="n">
        <v>0.025</v>
      </c>
      <c r="I16" s="122"/>
      <c r="J16" s="122"/>
    </row>
    <row r="17" customFormat="false" ht="17.9" hidden="false" customHeight="false" outlineLevel="0" collapsed="false">
      <c r="B17" s="117"/>
      <c r="C17" s="120" t="s">
        <v>160</v>
      </c>
      <c r="D17" s="120" t="s">
        <v>161</v>
      </c>
      <c r="E17" s="120" t="s">
        <v>156</v>
      </c>
      <c r="F17" s="120" t="s">
        <v>156</v>
      </c>
      <c r="G17" s="120" t="s">
        <v>162</v>
      </c>
      <c r="H17" s="123" t="n">
        <v>0.02</v>
      </c>
      <c r="I17" s="122"/>
      <c r="J17" s="122"/>
    </row>
    <row r="18" customFormat="false" ht="17.9" hidden="false" customHeight="false" outlineLevel="0" collapsed="false">
      <c r="B18" s="117"/>
      <c r="C18" s="120" t="s">
        <v>163</v>
      </c>
      <c r="D18" s="120" t="s">
        <v>164</v>
      </c>
      <c r="E18" s="120" t="s">
        <v>165</v>
      </c>
      <c r="F18" s="120" t="s">
        <v>165</v>
      </c>
      <c r="G18" s="120" t="s">
        <v>166</v>
      </c>
      <c r="H18" s="123" t="n">
        <v>0.01</v>
      </c>
      <c r="I18" s="122"/>
      <c r="J18" s="122"/>
    </row>
    <row r="19" customFormat="false" ht="17.9" hidden="false" customHeight="false" outlineLevel="0" collapsed="false">
      <c r="B19" s="117"/>
      <c r="C19" s="120" t="s">
        <v>167</v>
      </c>
      <c r="D19" s="120" t="s">
        <v>167</v>
      </c>
      <c r="E19" s="120" t="s">
        <v>168</v>
      </c>
      <c r="F19" s="120" t="s">
        <v>169</v>
      </c>
      <c r="G19" s="120" t="s">
        <v>170</v>
      </c>
      <c r="H19" s="125" t="n">
        <v>0.005</v>
      </c>
      <c r="I19" s="122"/>
      <c r="J19" s="122"/>
    </row>
    <row r="20" customFormat="false" ht="17.9" hidden="false" customHeight="false" outlineLevel="0" collapsed="false">
      <c r="B20" s="117"/>
      <c r="C20" s="120" t="s">
        <v>171</v>
      </c>
      <c r="D20" s="120" t="s">
        <v>172</v>
      </c>
      <c r="E20" s="120" t="s">
        <v>171</v>
      </c>
      <c r="F20" s="120" t="s">
        <v>171</v>
      </c>
      <c r="G20" s="120" t="s">
        <v>171</v>
      </c>
      <c r="H20" s="123" t="n">
        <v>0</v>
      </c>
      <c r="I20" s="122"/>
      <c r="J20" s="122"/>
    </row>
    <row r="21" customFormat="false" ht="15.75" hidden="false" customHeight="true" outlineLevel="0" collapsed="false">
      <c r="B21" s="117" t="s">
        <v>173</v>
      </c>
      <c r="C21" s="120" t="s">
        <v>174</v>
      </c>
      <c r="D21" s="124" t="s">
        <v>175</v>
      </c>
      <c r="E21" s="120" t="s">
        <v>174</v>
      </c>
      <c r="F21" s="120" t="s">
        <v>176</v>
      </c>
      <c r="G21" s="120" t="s">
        <v>177</v>
      </c>
      <c r="H21" s="123" t="n">
        <v>0.05</v>
      </c>
      <c r="I21" s="122"/>
      <c r="J21" s="122"/>
    </row>
    <row r="22" customFormat="false" ht="20.25" hidden="false" customHeight="true" outlineLevel="0" collapsed="false">
      <c r="B22" s="117"/>
      <c r="C22" s="120" t="s">
        <v>178</v>
      </c>
      <c r="D22" s="120" t="s">
        <v>179</v>
      </c>
      <c r="E22" s="120" t="s">
        <v>180</v>
      </c>
      <c r="F22" s="120" t="s">
        <v>179</v>
      </c>
      <c r="G22" s="120" t="s">
        <v>180</v>
      </c>
      <c r="H22" s="123" t="n">
        <v>0.04</v>
      </c>
      <c r="I22" s="122"/>
      <c r="J22" s="122"/>
    </row>
    <row r="23" customFormat="false" ht="17.9" hidden="false" customHeight="false" outlineLevel="0" collapsed="false">
      <c r="B23" s="117"/>
      <c r="C23" s="120" t="s">
        <v>181</v>
      </c>
      <c r="D23" s="120" t="s">
        <v>182</v>
      </c>
      <c r="E23" s="120" t="s">
        <v>157</v>
      </c>
      <c r="F23" s="120" t="s">
        <v>182</v>
      </c>
      <c r="G23" s="120" t="s">
        <v>181</v>
      </c>
      <c r="H23" s="123" t="n">
        <v>0.03</v>
      </c>
      <c r="I23" s="122"/>
      <c r="J23" s="122"/>
    </row>
    <row r="24" customFormat="false" ht="17.9" hidden="false" customHeight="false" outlineLevel="0" collapsed="false">
      <c r="B24" s="117"/>
      <c r="C24" s="120" t="s">
        <v>183</v>
      </c>
      <c r="D24" s="120" t="s">
        <v>184</v>
      </c>
      <c r="E24" s="120" t="s">
        <v>183</v>
      </c>
      <c r="F24" s="120" t="s">
        <v>184</v>
      </c>
      <c r="G24" s="120" t="s">
        <v>183</v>
      </c>
      <c r="H24" s="123" t="n">
        <v>0.02</v>
      </c>
      <c r="I24" s="122"/>
      <c r="J24" s="122"/>
    </row>
    <row r="25" customFormat="false" ht="17.9" hidden="false" customHeight="false" outlineLevel="0" collapsed="false">
      <c r="B25" s="117"/>
      <c r="C25" s="120" t="s">
        <v>185</v>
      </c>
      <c r="D25" s="120" t="s">
        <v>186</v>
      </c>
      <c r="E25" s="120" t="s">
        <v>185</v>
      </c>
      <c r="F25" s="120" t="s">
        <v>186</v>
      </c>
      <c r="G25" s="120" t="s">
        <v>185</v>
      </c>
      <c r="H25" s="123" t="n">
        <v>0.01</v>
      </c>
      <c r="I25" s="122"/>
      <c r="J25" s="122"/>
    </row>
    <row r="26" customFormat="false" ht="15.75" hidden="false" customHeight="true" outlineLevel="0" collapsed="false">
      <c r="B26" s="117" t="s">
        <v>187</v>
      </c>
      <c r="C26" s="120" t="s">
        <v>188</v>
      </c>
      <c r="D26" s="120" t="s">
        <v>188</v>
      </c>
      <c r="E26" s="120" t="s">
        <v>188</v>
      </c>
      <c r="F26" s="120" t="s">
        <v>189</v>
      </c>
      <c r="G26" s="120" t="s">
        <v>130</v>
      </c>
      <c r="H26" s="123" t="n">
        <v>0.03</v>
      </c>
      <c r="I26" s="122"/>
      <c r="J26" s="122"/>
    </row>
    <row r="27" customFormat="false" ht="14.25" hidden="false" customHeight="true" outlineLevel="0" collapsed="false">
      <c r="B27" s="117"/>
      <c r="C27" s="120" t="s">
        <v>190</v>
      </c>
      <c r="D27" s="120" t="s">
        <v>191</v>
      </c>
      <c r="E27" s="120" t="s">
        <v>190</v>
      </c>
      <c r="F27" s="126" t="s">
        <v>192</v>
      </c>
      <c r="G27" s="120" t="s">
        <v>193</v>
      </c>
      <c r="H27" s="125" t="n">
        <v>0.025</v>
      </c>
      <c r="I27" s="122"/>
      <c r="J27" s="122"/>
    </row>
    <row r="28" customFormat="false" ht="18.75" hidden="false" customHeight="true" outlineLevel="0" collapsed="false">
      <c r="B28" s="117"/>
      <c r="C28" s="120" t="s">
        <v>193</v>
      </c>
      <c r="D28" s="120" t="s">
        <v>139</v>
      </c>
      <c r="E28" s="120" t="s">
        <v>193</v>
      </c>
      <c r="F28" s="120" t="s">
        <v>194</v>
      </c>
      <c r="G28" s="120" t="s">
        <v>195</v>
      </c>
      <c r="H28" s="123" t="n">
        <v>0.02</v>
      </c>
      <c r="I28" s="122"/>
      <c r="J28" s="122"/>
    </row>
    <row r="29" customFormat="false" ht="15" hidden="false" customHeight="true" outlineLevel="0" collapsed="false">
      <c r="B29" s="117"/>
      <c r="C29" s="120" t="s">
        <v>139</v>
      </c>
      <c r="D29" s="120" t="s">
        <v>143</v>
      </c>
      <c r="E29" s="120" t="s">
        <v>139</v>
      </c>
      <c r="F29" s="120" t="s">
        <v>143</v>
      </c>
      <c r="G29" s="120" t="s">
        <v>196</v>
      </c>
      <c r="H29" s="123" t="n">
        <v>0.01</v>
      </c>
      <c r="I29" s="122"/>
      <c r="J29" s="122"/>
    </row>
    <row r="30" customFormat="false" ht="15" hidden="false" customHeight="true" outlineLevel="0" collapsed="false">
      <c r="B30" s="117"/>
      <c r="C30" s="120" t="s">
        <v>197</v>
      </c>
      <c r="D30" s="120" t="s">
        <v>148</v>
      </c>
      <c r="E30" s="120" t="s">
        <v>197</v>
      </c>
      <c r="F30" s="120" t="s">
        <v>148</v>
      </c>
      <c r="G30" s="120" t="s">
        <v>148</v>
      </c>
      <c r="H30" s="123" t="n">
        <v>0</v>
      </c>
      <c r="I30" s="122"/>
      <c r="J30" s="122"/>
    </row>
    <row r="31" customFormat="false" ht="15" hidden="false" customHeight="true" outlineLevel="0" collapsed="false">
      <c r="B31" s="117" t="s">
        <v>198</v>
      </c>
      <c r="C31" s="127" t="s">
        <v>199</v>
      </c>
      <c r="D31" s="127" t="s">
        <v>200</v>
      </c>
      <c r="E31" s="127" t="s">
        <v>201</v>
      </c>
      <c r="F31" s="127" t="s">
        <v>202</v>
      </c>
      <c r="G31" s="127" t="s">
        <v>203</v>
      </c>
      <c r="H31" s="123" t="n">
        <v>0.04</v>
      </c>
      <c r="I31" s="122"/>
      <c r="J31" s="122"/>
    </row>
    <row r="32" customFormat="false" ht="16.5" hidden="false" customHeight="true" outlineLevel="0" collapsed="false">
      <c r="B32" s="117"/>
      <c r="C32" s="127" t="s">
        <v>204</v>
      </c>
      <c r="D32" s="127" t="s">
        <v>205</v>
      </c>
      <c r="E32" s="127" t="s">
        <v>206</v>
      </c>
      <c r="F32" s="127" t="s">
        <v>207</v>
      </c>
      <c r="G32" s="127" t="s">
        <v>208</v>
      </c>
      <c r="H32" s="123" t="n">
        <v>0.03</v>
      </c>
      <c r="I32" s="122"/>
      <c r="J32" s="122"/>
    </row>
    <row r="33" customFormat="false" ht="17.9" hidden="false" customHeight="false" outlineLevel="0" collapsed="false">
      <c r="B33" s="117"/>
      <c r="C33" s="127" t="s">
        <v>206</v>
      </c>
      <c r="D33" s="127" t="s">
        <v>209</v>
      </c>
      <c r="E33" s="127" t="s">
        <v>207</v>
      </c>
      <c r="F33" s="127" t="s">
        <v>209</v>
      </c>
      <c r="G33" s="127" t="s">
        <v>210</v>
      </c>
      <c r="H33" s="123" t="n">
        <v>0.02</v>
      </c>
      <c r="I33" s="122"/>
      <c r="J33" s="122"/>
    </row>
    <row r="34" customFormat="false" ht="17.9" hidden="false" customHeight="false" outlineLevel="0" collapsed="false">
      <c r="B34" s="117"/>
      <c r="C34" s="120" t="s">
        <v>211</v>
      </c>
      <c r="D34" s="120" t="s">
        <v>212</v>
      </c>
      <c r="E34" s="120" t="s">
        <v>213</v>
      </c>
      <c r="F34" s="120" t="s">
        <v>212</v>
      </c>
      <c r="G34" s="120" t="s">
        <v>214</v>
      </c>
      <c r="H34" s="123" t="n">
        <v>0.01</v>
      </c>
      <c r="I34" s="122"/>
      <c r="J34" s="122"/>
    </row>
    <row r="35" customFormat="false" ht="15.75" hidden="false" customHeight="true" outlineLevel="0" collapsed="false">
      <c r="B35" s="117" t="s">
        <v>215</v>
      </c>
      <c r="C35" s="128" t="s">
        <v>216</v>
      </c>
      <c r="D35" s="128"/>
      <c r="E35" s="128"/>
      <c r="F35" s="128"/>
      <c r="G35" s="128"/>
      <c r="H35" s="129" t="n">
        <v>0.04</v>
      </c>
      <c r="I35" s="122"/>
      <c r="J35" s="122"/>
      <c r="L35" s="130"/>
    </row>
    <row r="36" customFormat="false" ht="15.75" hidden="false" customHeight="true" outlineLevel="0" collapsed="false">
      <c r="B36" s="117"/>
      <c r="C36" s="128" t="s">
        <v>217</v>
      </c>
      <c r="D36" s="128"/>
      <c r="E36" s="128"/>
      <c r="F36" s="128"/>
      <c r="G36" s="128"/>
      <c r="H36" s="129" t="n">
        <v>0.03</v>
      </c>
      <c r="I36" s="122"/>
      <c r="J36" s="122"/>
    </row>
    <row r="37" customFormat="false" ht="18" hidden="false" customHeight="true" outlineLevel="0" collapsed="false">
      <c r="B37" s="117"/>
      <c r="C37" s="128" t="s">
        <v>218</v>
      </c>
      <c r="D37" s="128"/>
      <c r="E37" s="128"/>
      <c r="F37" s="128"/>
      <c r="G37" s="128"/>
      <c r="H37" s="129" t="n">
        <v>0.02</v>
      </c>
      <c r="I37" s="122"/>
      <c r="J37" s="122"/>
    </row>
    <row r="38" customFormat="false" ht="18.75" hidden="false" customHeight="true" outlineLevel="0" collapsed="false">
      <c r="B38" s="117"/>
      <c r="C38" s="128" t="s">
        <v>219</v>
      </c>
      <c r="D38" s="128"/>
      <c r="E38" s="128"/>
      <c r="F38" s="128"/>
      <c r="G38" s="128"/>
      <c r="H38" s="129" t="n">
        <v>0.01</v>
      </c>
      <c r="I38" s="122"/>
      <c r="J38" s="122"/>
    </row>
    <row r="39" customFormat="false" ht="18.75" hidden="false" customHeight="true" outlineLevel="0" collapsed="false">
      <c r="B39" s="117"/>
      <c r="C39" s="128" t="s">
        <v>220</v>
      </c>
      <c r="D39" s="128"/>
      <c r="E39" s="128"/>
      <c r="F39" s="128"/>
      <c r="G39" s="128"/>
      <c r="H39" s="129" t="n">
        <v>0</v>
      </c>
      <c r="I39" s="122"/>
      <c r="J39" s="122"/>
    </row>
    <row r="40" customFormat="false" ht="15.75" hidden="false" customHeight="true" outlineLevel="0" collapsed="false">
      <c r="B40" s="131" t="s">
        <v>221</v>
      </c>
      <c r="C40" s="131"/>
      <c r="D40" s="131"/>
      <c r="E40" s="131"/>
      <c r="F40" s="131"/>
      <c r="G40" s="131"/>
      <c r="H40" s="131"/>
      <c r="I40" s="131"/>
      <c r="J40" s="122"/>
    </row>
    <row r="41" customFormat="false" ht="15.75" hidden="false" customHeight="true" outlineLevel="0" collapsed="false">
      <c r="B41" s="132" t="s">
        <v>221</v>
      </c>
      <c r="C41" s="133" t="s">
        <v>222</v>
      </c>
      <c r="D41" s="133"/>
      <c r="E41" s="133"/>
      <c r="F41" s="133"/>
      <c r="G41" s="133"/>
      <c r="H41" s="134" t="n">
        <v>0.05</v>
      </c>
      <c r="I41" s="122" t="str">
        <f aca="false">I15</f>
        <v>Financial Statements</v>
      </c>
      <c r="J41" s="122"/>
    </row>
    <row r="42" customFormat="false" ht="15.75" hidden="false" customHeight="true" outlineLevel="0" collapsed="false">
      <c r="B42" s="132"/>
      <c r="C42" s="133" t="s">
        <v>223</v>
      </c>
      <c r="D42" s="133"/>
      <c r="E42" s="133"/>
      <c r="F42" s="133"/>
      <c r="G42" s="133"/>
      <c r="H42" s="134" t="n">
        <v>0.04</v>
      </c>
      <c r="I42" s="122"/>
      <c r="J42" s="122"/>
    </row>
    <row r="43" customFormat="false" ht="15.75" hidden="false" customHeight="true" outlineLevel="0" collapsed="false">
      <c r="B43" s="132"/>
      <c r="C43" s="133" t="s">
        <v>224</v>
      </c>
      <c r="D43" s="133"/>
      <c r="E43" s="133"/>
      <c r="F43" s="133"/>
      <c r="G43" s="133"/>
      <c r="H43" s="134" t="n">
        <v>0.03</v>
      </c>
      <c r="I43" s="122"/>
      <c r="J43" s="122"/>
    </row>
    <row r="44" customFormat="false" ht="17.9" hidden="false" customHeight="true" outlineLevel="0" collapsed="false">
      <c r="B44" s="132"/>
      <c r="C44" s="133" t="s">
        <v>225</v>
      </c>
      <c r="D44" s="133"/>
      <c r="E44" s="133"/>
      <c r="F44" s="133"/>
      <c r="G44" s="133"/>
      <c r="H44" s="134" t="n">
        <v>0.02</v>
      </c>
      <c r="I44" s="122"/>
      <c r="J44" s="122"/>
    </row>
    <row r="45" customFormat="false" ht="17.9" hidden="false" customHeight="true" outlineLevel="0" collapsed="false">
      <c r="B45" s="132"/>
      <c r="C45" s="133" t="s">
        <v>226</v>
      </c>
      <c r="D45" s="133"/>
      <c r="E45" s="133"/>
      <c r="F45" s="133"/>
      <c r="G45" s="133"/>
      <c r="H45" s="134" t="n">
        <v>0.01</v>
      </c>
      <c r="I45" s="122"/>
      <c r="J45" s="122"/>
    </row>
    <row r="46" customFormat="false" ht="17.9" hidden="false" customHeight="true" outlineLevel="0" collapsed="false">
      <c r="B46" s="132" t="s">
        <v>227</v>
      </c>
      <c r="C46" s="133" t="s">
        <v>228</v>
      </c>
      <c r="D46" s="133"/>
      <c r="E46" s="133"/>
      <c r="F46" s="133"/>
      <c r="G46" s="133"/>
      <c r="H46" s="134" t="n">
        <v>-0.02</v>
      </c>
      <c r="I46" s="122"/>
      <c r="J46" s="122"/>
    </row>
    <row r="47" customFormat="false" ht="17.9" hidden="false" customHeight="true" outlineLevel="0" collapsed="false">
      <c r="B47" s="132"/>
      <c r="C47" s="133" t="s">
        <v>229</v>
      </c>
      <c r="D47" s="133"/>
      <c r="E47" s="133"/>
      <c r="F47" s="133"/>
      <c r="G47" s="133"/>
      <c r="H47" s="134" t="n">
        <v>-0.05</v>
      </c>
      <c r="I47" s="122"/>
      <c r="J47" s="122"/>
    </row>
    <row r="48" customFormat="false" ht="17.9" hidden="false" customHeight="true" outlineLevel="0" collapsed="false">
      <c r="B48" s="135" t="s">
        <v>230</v>
      </c>
      <c r="C48" s="136" t="s">
        <v>231</v>
      </c>
      <c r="D48" s="136"/>
      <c r="E48" s="136"/>
      <c r="F48" s="136"/>
      <c r="G48" s="136"/>
      <c r="H48" s="137" t="n">
        <v>0.05</v>
      </c>
      <c r="I48" s="122"/>
      <c r="J48" s="122"/>
    </row>
    <row r="49" customFormat="false" ht="17.9" hidden="false" customHeight="true" outlineLevel="0" collapsed="false">
      <c r="B49" s="135"/>
      <c r="C49" s="136" t="s">
        <v>232</v>
      </c>
      <c r="D49" s="136"/>
      <c r="E49" s="136"/>
      <c r="F49" s="136"/>
      <c r="G49" s="136"/>
      <c r="H49" s="137" t="n">
        <v>0.04</v>
      </c>
      <c r="I49" s="122"/>
      <c r="J49" s="122"/>
    </row>
    <row r="50" customFormat="false" ht="17.9" hidden="false" customHeight="true" outlineLevel="0" collapsed="false">
      <c r="B50" s="135"/>
      <c r="C50" s="136" t="s">
        <v>233</v>
      </c>
      <c r="D50" s="136"/>
      <c r="E50" s="136"/>
      <c r="F50" s="136"/>
      <c r="G50" s="136"/>
      <c r="H50" s="137" t="n">
        <v>0.03</v>
      </c>
      <c r="I50" s="122"/>
      <c r="J50" s="122"/>
    </row>
    <row r="51" customFormat="false" ht="17.9" hidden="false" customHeight="true" outlineLevel="0" collapsed="false">
      <c r="B51" s="135"/>
      <c r="C51" s="136" t="s">
        <v>234</v>
      </c>
      <c r="D51" s="136"/>
      <c r="E51" s="136"/>
      <c r="F51" s="136"/>
      <c r="G51" s="136"/>
      <c r="H51" s="137" t="n">
        <v>0.02</v>
      </c>
      <c r="I51" s="122"/>
      <c r="J51" s="122"/>
    </row>
    <row r="52" customFormat="false" ht="17.9" hidden="false" customHeight="true" outlineLevel="0" collapsed="false">
      <c r="B52" s="135"/>
      <c r="C52" s="136" t="s">
        <v>235</v>
      </c>
      <c r="D52" s="136"/>
      <c r="E52" s="136"/>
      <c r="F52" s="136"/>
      <c r="G52" s="136"/>
      <c r="H52" s="137" t="n">
        <v>0</v>
      </c>
      <c r="I52" s="122"/>
      <c r="J52" s="122"/>
    </row>
    <row r="53" customFormat="false" ht="14.25" hidden="false" customHeight="false" outlineLevel="0" collapsed="false">
      <c r="H53" s="138" t="n">
        <f aca="false">H48+H41+H35+H31+H26+H21+H15+H9+H5</f>
        <v>0.4</v>
      </c>
    </row>
  </sheetData>
  <mergeCells count="37">
    <mergeCell ref="C2:H2"/>
    <mergeCell ref="I2:I3"/>
    <mergeCell ref="J2:J3"/>
    <mergeCell ref="B4:I4"/>
    <mergeCell ref="J4:J52"/>
    <mergeCell ref="B5:B8"/>
    <mergeCell ref="I5:I13"/>
    <mergeCell ref="B9:B13"/>
    <mergeCell ref="B14:I14"/>
    <mergeCell ref="B15:B20"/>
    <mergeCell ref="I15:I39"/>
    <mergeCell ref="B21:B25"/>
    <mergeCell ref="B26:B30"/>
    <mergeCell ref="B31:B34"/>
    <mergeCell ref="B35:B39"/>
    <mergeCell ref="C35:G35"/>
    <mergeCell ref="C36:G36"/>
    <mergeCell ref="C37:G37"/>
    <mergeCell ref="C38:G38"/>
    <mergeCell ref="C39:G39"/>
    <mergeCell ref="B40:I40"/>
    <mergeCell ref="B41:B45"/>
    <mergeCell ref="C41:G41"/>
    <mergeCell ref="I41:I52"/>
    <mergeCell ref="C42:G42"/>
    <mergeCell ref="C43:G43"/>
    <mergeCell ref="C44:G44"/>
    <mergeCell ref="C45:G45"/>
    <mergeCell ref="B46:B47"/>
    <mergeCell ref="C46:G46"/>
    <mergeCell ref="C47:G47"/>
    <mergeCell ref="B48:B52"/>
    <mergeCell ref="C48:G48"/>
    <mergeCell ref="C49:G49"/>
    <mergeCell ref="C50:G50"/>
    <mergeCell ref="C51:G51"/>
    <mergeCell ref="C52:G5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8.59765625" defaultRowHeight="14.25" customHeight="true" zeroHeight="false" outlineLevelRow="0" outlineLevelCol="0"/>
  <cols>
    <col collapsed="false" customWidth="true" hidden="false" outlineLevel="0" max="2" min="2" style="0" width="17"/>
    <col collapsed="false" customWidth="true" hidden="false" outlineLevel="0" max="3" min="3" style="0" width="26.09"/>
    <col collapsed="false" customWidth="true" hidden="false" outlineLevel="0" max="4" min="4" style="0" width="29.63"/>
    <col collapsed="false" customWidth="true" hidden="false" outlineLevel="0" max="5" min="5" style="0" width="23.09"/>
    <col collapsed="false" customWidth="true" hidden="false" outlineLevel="0" max="6" min="6" style="0" width="24.63"/>
    <col collapsed="false" customWidth="true" hidden="false" outlineLevel="0" max="7" min="7" style="0" width="15.54"/>
  </cols>
  <sheetData>
    <row r="2" customFormat="false" ht="15" hidden="false" customHeight="true" outlineLevel="0" collapsed="false">
      <c r="C2" s="139" t="s">
        <v>236</v>
      </c>
      <c r="D2" s="139"/>
      <c r="E2" s="139"/>
    </row>
    <row r="3" customFormat="false" ht="26.85" hidden="false" customHeight="false" outlineLevel="0" collapsed="false">
      <c r="B3" s="140"/>
      <c r="C3" s="141" t="s">
        <v>237</v>
      </c>
      <c r="D3" s="141" t="s">
        <v>238</v>
      </c>
      <c r="E3" s="141" t="s">
        <v>113</v>
      </c>
      <c r="F3" s="122" t="str">
        <f aca="false">'Financial 40'!I2</f>
        <v>Source of Data</v>
      </c>
      <c r="G3" s="142" t="s">
        <v>239</v>
      </c>
    </row>
    <row r="4" customFormat="false" ht="15" hidden="false" customHeight="true" outlineLevel="0" collapsed="false">
      <c r="B4" s="143" t="s">
        <v>240</v>
      </c>
      <c r="C4" s="144" t="s">
        <v>241</v>
      </c>
      <c r="D4" s="143" t="s">
        <v>242</v>
      </c>
      <c r="E4" s="145" t="n">
        <v>0.04</v>
      </c>
      <c r="F4" s="122" t="s">
        <v>243</v>
      </c>
      <c r="G4" s="122" t="s">
        <v>244</v>
      </c>
    </row>
    <row r="5" customFormat="false" ht="15" hidden="false" customHeight="false" outlineLevel="0" collapsed="false">
      <c r="B5" s="143"/>
      <c r="C5" s="144"/>
      <c r="D5" s="143" t="s">
        <v>245</v>
      </c>
      <c r="E5" s="145" t="n">
        <v>0.02</v>
      </c>
      <c r="F5" s="122"/>
      <c r="G5" s="122"/>
    </row>
    <row r="6" customFormat="false" ht="15" hidden="false" customHeight="false" outlineLevel="0" collapsed="false">
      <c r="B6" s="143"/>
      <c r="C6" s="144"/>
      <c r="D6" s="143" t="s">
        <v>246</v>
      </c>
      <c r="E6" s="145" t="n">
        <v>0</v>
      </c>
      <c r="F6" s="122"/>
      <c r="G6" s="122"/>
    </row>
    <row r="7" customFormat="false" ht="15" hidden="false" customHeight="true" outlineLevel="0" collapsed="false">
      <c r="B7" s="143"/>
      <c r="C7" s="144" t="s">
        <v>247</v>
      </c>
      <c r="D7" s="143" t="s">
        <v>248</v>
      </c>
      <c r="E7" s="145" t="n">
        <v>0.03</v>
      </c>
      <c r="F7" s="122"/>
      <c r="G7" s="122"/>
    </row>
    <row r="8" customFormat="false" ht="15" hidden="false" customHeight="false" outlineLevel="0" collapsed="false">
      <c r="B8" s="143"/>
      <c r="C8" s="144"/>
      <c r="D8" s="143" t="s">
        <v>249</v>
      </c>
      <c r="E8" s="145" t="n">
        <v>0.02</v>
      </c>
      <c r="F8" s="122"/>
      <c r="G8" s="122"/>
    </row>
    <row r="9" customFormat="false" ht="15" hidden="false" customHeight="false" outlineLevel="0" collapsed="false">
      <c r="B9" s="143"/>
      <c r="C9" s="144"/>
      <c r="D9" s="143" t="s">
        <v>250</v>
      </c>
      <c r="E9" s="145" t="n">
        <v>0</v>
      </c>
      <c r="F9" s="122"/>
      <c r="G9" s="122"/>
    </row>
    <row r="10" customFormat="false" ht="15" hidden="false" customHeight="true" outlineLevel="0" collapsed="false">
      <c r="B10" s="143"/>
      <c r="C10" s="144" t="s">
        <v>251</v>
      </c>
      <c r="D10" s="143" t="s">
        <v>252</v>
      </c>
      <c r="E10" s="145" t="n">
        <v>0.03</v>
      </c>
      <c r="F10" s="122"/>
      <c r="G10" s="122"/>
    </row>
    <row r="11" customFormat="false" ht="15" hidden="false" customHeight="false" outlineLevel="0" collapsed="false">
      <c r="B11" s="143"/>
      <c r="C11" s="144"/>
      <c r="D11" s="143" t="s">
        <v>253</v>
      </c>
      <c r="E11" s="145" t="n">
        <v>0.02</v>
      </c>
      <c r="F11" s="122"/>
      <c r="G11" s="122"/>
    </row>
    <row r="12" customFormat="false" ht="15" hidden="false" customHeight="false" outlineLevel="0" collapsed="false">
      <c r="B12" s="143"/>
      <c r="C12" s="144"/>
      <c r="D12" s="143" t="s">
        <v>254</v>
      </c>
      <c r="E12" s="145" t="n">
        <v>0.02</v>
      </c>
      <c r="F12" s="122"/>
      <c r="G12" s="122"/>
    </row>
    <row r="13" customFormat="false" ht="15" hidden="false" customHeight="false" outlineLevel="0" collapsed="false">
      <c r="B13" s="143"/>
      <c r="C13" s="144"/>
      <c r="D13" s="143" t="s">
        <v>255</v>
      </c>
      <c r="E13" s="145" t="n">
        <v>0.01</v>
      </c>
      <c r="F13" s="122"/>
      <c r="G13" s="122"/>
    </row>
    <row r="14" customFormat="false" ht="15" hidden="false" customHeight="false" outlineLevel="0" collapsed="false">
      <c r="B14" s="146"/>
      <c r="C14" s="146"/>
      <c r="D14" s="147"/>
      <c r="E14" s="148" t="n">
        <f aca="false">E4+E7+E10</f>
        <v>0.1</v>
      </c>
    </row>
  </sheetData>
  <mergeCells count="8">
    <mergeCell ref="C2:E2"/>
    <mergeCell ref="B4:B13"/>
    <mergeCell ref="C4:C6"/>
    <mergeCell ref="F4:F13"/>
    <mergeCell ref="G4:G13"/>
    <mergeCell ref="C7:C9"/>
    <mergeCell ref="C10:C13"/>
    <mergeCell ref="B14:C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71" activeCellId="0" sqref="J71"/>
    </sheetView>
  </sheetViews>
  <sheetFormatPr defaultColWidth="8.73046875" defaultRowHeight="13.5" customHeight="true" zeroHeight="false" outlineLevelRow="0" outlineLevelCol="0"/>
  <cols>
    <col collapsed="false" customWidth="false" hidden="false" outlineLevel="0" max="2" min="1" style="149" width="8.73"/>
    <col collapsed="false" customWidth="true" hidden="false" outlineLevel="0" max="3" min="3" style="149" width="18.91"/>
    <col collapsed="false" customWidth="true" hidden="false" outlineLevel="0" max="4" min="4" style="149" width="44.63"/>
    <col collapsed="false" customWidth="true" hidden="false" outlineLevel="0" max="5" min="5" style="149" width="29.54"/>
    <col collapsed="false" customWidth="true" hidden="false" outlineLevel="0" max="6" min="6" style="149" width="12.36"/>
    <col collapsed="false" customWidth="true" hidden="false" outlineLevel="0" max="7" min="7" style="149" width="14.27"/>
    <col collapsed="false" customWidth="true" hidden="false" outlineLevel="0" max="8" min="8" style="149" width="12.73"/>
    <col collapsed="false" customWidth="false" hidden="false" outlineLevel="0" max="16384" min="9" style="149" width="8.73"/>
  </cols>
  <sheetData>
    <row r="1" customFormat="false" ht="26.85" hidden="false" customHeight="true" outlineLevel="0" collapsed="false">
      <c r="B1" s="150" t="s">
        <v>256</v>
      </c>
      <c r="C1" s="150" t="s">
        <v>237</v>
      </c>
      <c r="D1" s="151" t="s">
        <v>238</v>
      </c>
      <c r="E1" s="151"/>
      <c r="F1" s="150" t="s">
        <v>113</v>
      </c>
      <c r="G1" s="152" t="str">
        <f aca="false">'Industry attractiveness 10'!F3</f>
        <v>Source of Data</v>
      </c>
      <c r="H1" s="153" t="str">
        <f aca="false">'Industry attractiveness 10'!G3</f>
        <v>Responsible Organ</v>
      </c>
    </row>
    <row r="2" customFormat="false" ht="15" hidden="false" customHeight="true" outlineLevel="0" collapsed="false">
      <c r="B2" s="151" t="s">
        <v>257</v>
      </c>
      <c r="C2" s="151"/>
      <c r="D2" s="151"/>
      <c r="E2" s="151"/>
      <c r="F2" s="151"/>
      <c r="G2" s="151"/>
      <c r="H2" s="154"/>
    </row>
    <row r="3" customFormat="false" ht="15" hidden="false" customHeight="true" outlineLevel="0" collapsed="false">
      <c r="B3" s="155" t="n">
        <v>1</v>
      </c>
      <c r="C3" s="151" t="s">
        <v>258</v>
      </c>
      <c r="D3" s="151"/>
      <c r="E3" s="151"/>
      <c r="F3" s="151"/>
      <c r="G3" s="151"/>
      <c r="H3" s="154"/>
    </row>
    <row r="4" customFormat="false" ht="15" hidden="false" customHeight="true" outlineLevel="0" collapsed="false">
      <c r="B4" s="143"/>
      <c r="C4" s="150" t="s">
        <v>259</v>
      </c>
      <c r="D4" s="155"/>
      <c r="E4" s="155"/>
      <c r="F4" s="155"/>
      <c r="G4" s="152" t="s">
        <v>260</v>
      </c>
      <c r="H4" s="152" t="str">
        <f aca="false">H28</f>
        <v>Can be generated from CBS</v>
      </c>
    </row>
    <row r="5" customFormat="false" ht="15" hidden="false" customHeight="true" outlineLevel="0" collapsed="false">
      <c r="B5" s="143"/>
      <c r="C5" s="143" t="s">
        <v>261</v>
      </c>
      <c r="D5" s="143" t="s">
        <v>262</v>
      </c>
      <c r="E5" s="143"/>
      <c r="F5" s="156" t="n">
        <v>0.06</v>
      </c>
      <c r="G5" s="152"/>
      <c r="H5" s="152"/>
    </row>
    <row r="6" customFormat="false" ht="15" hidden="false" customHeight="true" outlineLevel="0" collapsed="false">
      <c r="B6" s="143"/>
      <c r="C6" s="143"/>
      <c r="D6" s="143" t="s">
        <v>263</v>
      </c>
      <c r="E6" s="143"/>
      <c r="F6" s="156" t="n">
        <v>0.05</v>
      </c>
      <c r="G6" s="152"/>
      <c r="H6" s="152"/>
    </row>
    <row r="7" customFormat="false" ht="15" hidden="false" customHeight="true" outlineLevel="0" collapsed="false">
      <c r="B7" s="143"/>
      <c r="C7" s="143"/>
      <c r="D7" s="157" t="s">
        <v>264</v>
      </c>
      <c r="E7" s="157"/>
      <c r="F7" s="156" t="n">
        <v>0.03</v>
      </c>
      <c r="G7" s="152"/>
      <c r="H7" s="152"/>
      <c r="I7" s="149" t="s">
        <v>265</v>
      </c>
    </row>
    <row r="8" customFormat="false" ht="15" hidden="false" customHeight="true" outlineLevel="0" collapsed="false">
      <c r="B8" s="143"/>
      <c r="C8" s="143" t="s">
        <v>266</v>
      </c>
      <c r="D8" s="157" t="s">
        <v>267</v>
      </c>
      <c r="E8" s="157"/>
      <c r="F8" s="156" t="n">
        <v>0.07</v>
      </c>
      <c r="G8" s="152"/>
      <c r="H8" s="152"/>
    </row>
    <row r="9" customFormat="false" ht="15" hidden="false" customHeight="true" outlineLevel="0" collapsed="false">
      <c r="B9" s="143"/>
      <c r="C9" s="143"/>
      <c r="D9" s="157" t="s">
        <v>268</v>
      </c>
      <c r="E9" s="157"/>
      <c r="F9" s="156" t="n">
        <v>0.06</v>
      </c>
      <c r="G9" s="152"/>
      <c r="H9" s="152"/>
    </row>
    <row r="10" customFormat="false" ht="15" hidden="false" customHeight="true" outlineLevel="0" collapsed="false">
      <c r="B10" s="143"/>
      <c r="C10" s="143"/>
      <c r="D10" s="157" t="s">
        <v>269</v>
      </c>
      <c r="E10" s="157"/>
      <c r="F10" s="156" t="n">
        <v>0.05</v>
      </c>
      <c r="G10" s="152"/>
      <c r="H10" s="152"/>
    </row>
    <row r="11" customFormat="false" ht="15" hidden="false" customHeight="true" outlineLevel="0" collapsed="false">
      <c r="B11" s="143"/>
      <c r="C11" s="143"/>
      <c r="D11" s="157" t="s">
        <v>270</v>
      </c>
      <c r="E11" s="157"/>
      <c r="F11" s="156" t="n">
        <v>0.03</v>
      </c>
      <c r="G11" s="152"/>
      <c r="H11" s="152"/>
    </row>
    <row r="12" customFormat="false" ht="15" hidden="false" customHeight="true" outlineLevel="0" collapsed="false">
      <c r="B12" s="143"/>
      <c r="C12" s="143"/>
      <c r="D12" s="157" t="s">
        <v>271</v>
      </c>
      <c r="E12" s="157"/>
      <c r="F12" s="158" t="n">
        <v>0</v>
      </c>
      <c r="G12" s="152"/>
      <c r="H12" s="152"/>
    </row>
    <row r="13" customFormat="false" ht="15" hidden="false" customHeight="true" outlineLevel="0" collapsed="false">
      <c r="B13" s="143"/>
      <c r="C13" s="143" t="s">
        <v>272</v>
      </c>
      <c r="D13" s="155" t="s">
        <v>273</v>
      </c>
      <c r="E13" s="155"/>
      <c r="F13" s="158" t="n">
        <v>0.08</v>
      </c>
      <c r="G13" s="152"/>
      <c r="H13" s="152"/>
    </row>
    <row r="14" customFormat="false" ht="15" hidden="false" customHeight="true" outlineLevel="0" collapsed="false">
      <c r="B14" s="143"/>
      <c r="C14" s="143"/>
      <c r="D14" s="155" t="s">
        <v>274</v>
      </c>
      <c r="E14" s="155"/>
      <c r="F14" s="158" t="n">
        <v>0.07</v>
      </c>
      <c r="G14" s="152"/>
      <c r="H14" s="152"/>
    </row>
    <row r="15" customFormat="false" ht="15" hidden="false" customHeight="true" outlineLevel="0" collapsed="false">
      <c r="B15" s="143"/>
      <c r="C15" s="143"/>
      <c r="D15" s="155" t="s">
        <v>275</v>
      </c>
      <c r="E15" s="155"/>
      <c r="F15" s="158" t="n">
        <v>0.04</v>
      </c>
      <c r="G15" s="152"/>
      <c r="H15" s="152"/>
    </row>
    <row r="16" customFormat="false" ht="15" hidden="false" customHeight="true" outlineLevel="0" collapsed="false">
      <c r="B16" s="143"/>
      <c r="C16" s="143"/>
      <c r="D16" s="155" t="s">
        <v>276</v>
      </c>
      <c r="E16" s="155"/>
      <c r="F16" s="158" t="n">
        <v>0</v>
      </c>
      <c r="G16" s="152"/>
      <c r="H16" s="152"/>
    </row>
    <row r="17" customFormat="false" ht="15" hidden="false" customHeight="true" outlineLevel="0" collapsed="false">
      <c r="B17" s="143" t="n">
        <v>2</v>
      </c>
      <c r="C17" s="141" t="s">
        <v>277</v>
      </c>
      <c r="D17" s="141"/>
      <c r="E17" s="141"/>
      <c r="F17" s="141"/>
      <c r="G17" s="152" t="s">
        <v>278</v>
      </c>
      <c r="H17" s="159" t="s">
        <v>279</v>
      </c>
    </row>
    <row r="18" customFormat="false" ht="15" hidden="false" customHeight="true" outlineLevel="0" collapsed="false">
      <c r="B18" s="143"/>
      <c r="C18" s="141" t="s">
        <v>280</v>
      </c>
      <c r="D18" s="157" t="s">
        <v>281</v>
      </c>
      <c r="E18" s="157"/>
      <c r="F18" s="158" t="n">
        <v>0.13</v>
      </c>
      <c r="G18" s="152"/>
      <c r="H18" s="159"/>
    </row>
    <row r="19" customFormat="false" ht="15" hidden="false" customHeight="true" outlineLevel="0" collapsed="false">
      <c r="B19" s="143"/>
      <c r="C19" s="141"/>
      <c r="D19" s="157" t="s">
        <v>282</v>
      </c>
      <c r="E19" s="157"/>
      <c r="F19" s="158" t="n">
        <v>0.1</v>
      </c>
      <c r="G19" s="152"/>
      <c r="H19" s="159"/>
    </row>
    <row r="20" customFormat="false" ht="15" hidden="false" customHeight="true" outlineLevel="0" collapsed="false">
      <c r="B20" s="143"/>
      <c r="C20" s="141"/>
      <c r="D20" s="157" t="s">
        <v>283</v>
      </c>
      <c r="E20" s="157"/>
      <c r="F20" s="158" t="n">
        <v>0.05</v>
      </c>
      <c r="G20" s="152"/>
      <c r="H20" s="159"/>
    </row>
    <row r="21" customFormat="false" ht="15" hidden="false" customHeight="true" outlineLevel="0" collapsed="false">
      <c r="B21" s="143"/>
      <c r="C21" s="141"/>
      <c r="D21" s="157" t="s">
        <v>284</v>
      </c>
      <c r="E21" s="157"/>
      <c r="F21" s="158" t="n">
        <v>0</v>
      </c>
      <c r="G21" s="152"/>
      <c r="H21" s="159"/>
    </row>
    <row r="22" customFormat="false" ht="15" hidden="false" customHeight="true" outlineLevel="0" collapsed="false">
      <c r="B22" s="143"/>
      <c r="C22" s="141" t="s">
        <v>285</v>
      </c>
      <c r="D22" s="157" t="s">
        <v>286</v>
      </c>
      <c r="E22" s="157"/>
      <c r="F22" s="158" t="n">
        <v>0.08</v>
      </c>
      <c r="G22" s="152"/>
      <c r="H22" s="159"/>
      <c r="I22" s="149" t="s">
        <v>287</v>
      </c>
    </row>
    <row r="23" customFormat="false" ht="15" hidden="false" customHeight="true" outlineLevel="0" collapsed="false">
      <c r="B23" s="143"/>
      <c r="C23" s="141"/>
      <c r="D23" s="157" t="s">
        <v>288</v>
      </c>
      <c r="E23" s="157"/>
      <c r="F23" s="158" t="n">
        <v>0.07</v>
      </c>
      <c r="G23" s="152"/>
      <c r="H23" s="159"/>
    </row>
    <row r="24" customFormat="false" ht="15" hidden="false" customHeight="true" outlineLevel="0" collapsed="false">
      <c r="B24" s="143"/>
      <c r="C24" s="141"/>
      <c r="D24" s="157" t="s">
        <v>289</v>
      </c>
      <c r="E24" s="157"/>
      <c r="F24" s="158" t="n">
        <v>0.05</v>
      </c>
      <c r="G24" s="152"/>
      <c r="H24" s="159"/>
    </row>
    <row r="25" customFormat="false" ht="15" hidden="false" customHeight="true" outlineLevel="0" collapsed="false">
      <c r="B25" s="143"/>
      <c r="C25" s="141"/>
      <c r="D25" s="157" t="s">
        <v>290</v>
      </c>
      <c r="E25" s="157"/>
      <c r="F25" s="158" t="n">
        <v>0.03</v>
      </c>
      <c r="G25" s="152"/>
      <c r="H25" s="159"/>
    </row>
    <row r="26" customFormat="false" ht="15" hidden="false" customHeight="true" outlineLevel="0" collapsed="false">
      <c r="B26" s="143"/>
      <c r="C26" s="141"/>
      <c r="D26" s="157" t="s">
        <v>291</v>
      </c>
      <c r="E26" s="157"/>
      <c r="F26" s="145" t="n">
        <v>0</v>
      </c>
      <c r="G26" s="152"/>
      <c r="H26" s="159"/>
    </row>
    <row r="27" customFormat="false" ht="15" hidden="false" customHeight="true" outlineLevel="0" collapsed="false">
      <c r="B27" s="155" t="n">
        <v>3</v>
      </c>
      <c r="C27" s="141" t="s">
        <v>292</v>
      </c>
      <c r="D27" s="141"/>
      <c r="E27" s="141"/>
      <c r="F27" s="150"/>
      <c r="G27" s="160"/>
      <c r="H27" s="154"/>
    </row>
    <row r="28" customFormat="false" ht="15" hidden="false" customHeight="true" outlineLevel="0" collapsed="false">
      <c r="B28" s="143"/>
      <c r="C28" s="141" t="s">
        <v>293</v>
      </c>
      <c r="D28" s="157" t="s">
        <v>294</v>
      </c>
      <c r="E28" s="157"/>
      <c r="F28" s="158" t="n">
        <v>0.21</v>
      </c>
      <c r="G28" s="152" t="str">
        <f aca="false">G4</f>
        <v>Loan statements</v>
      </c>
      <c r="H28" s="153" t="s">
        <v>295</v>
      </c>
    </row>
    <row r="29" customFormat="false" ht="15" hidden="false" customHeight="true" outlineLevel="0" collapsed="false">
      <c r="B29" s="143"/>
      <c r="C29" s="141"/>
      <c r="D29" s="157" t="s">
        <v>296</v>
      </c>
      <c r="E29" s="157"/>
      <c r="F29" s="145" t="n">
        <v>0.15</v>
      </c>
      <c r="G29" s="152"/>
      <c r="H29" s="153"/>
      <c r="I29" s="149" t="s">
        <v>297</v>
      </c>
    </row>
    <row r="30" customFormat="false" ht="15" hidden="false" customHeight="true" outlineLevel="0" collapsed="false">
      <c r="B30" s="143"/>
      <c r="C30" s="141"/>
      <c r="D30" s="157" t="s">
        <v>298</v>
      </c>
      <c r="E30" s="157"/>
      <c r="F30" s="145" t="n">
        <v>0.05</v>
      </c>
      <c r="G30" s="152"/>
      <c r="H30" s="153"/>
    </row>
    <row r="31" customFormat="false" ht="15" hidden="false" customHeight="true" outlineLevel="0" collapsed="false">
      <c r="B31" s="143"/>
      <c r="C31" s="141"/>
      <c r="D31" s="157" t="s">
        <v>299</v>
      </c>
      <c r="E31" s="157"/>
      <c r="F31" s="158" t="n">
        <v>0</v>
      </c>
      <c r="G31" s="152"/>
      <c r="H31" s="153"/>
    </row>
    <row r="32" customFormat="false" ht="15" hidden="false" customHeight="true" outlineLevel="0" collapsed="false">
      <c r="B32" s="155" t="n">
        <v>4</v>
      </c>
      <c r="C32" s="141" t="s">
        <v>300</v>
      </c>
      <c r="D32" s="141"/>
      <c r="E32" s="141"/>
      <c r="F32" s="141"/>
      <c r="G32" s="152" t="str">
        <f aca="false">G28</f>
        <v>Loan statements</v>
      </c>
      <c r="H32" s="152" t="str">
        <f aca="false">H28</f>
        <v>Can be generated from CBS</v>
      </c>
    </row>
    <row r="33" customFormat="false" ht="15" hidden="false" customHeight="true" outlineLevel="0" collapsed="false">
      <c r="B33" s="143"/>
      <c r="C33" s="143" t="s">
        <v>301</v>
      </c>
      <c r="D33" s="143" t="s">
        <v>302</v>
      </c>
      <c r="E33" s="143"/>
      <c r="F33" s="145" t="n">
        <v>0.13</v>
      </c>
      <c r="G33" s="152"/>
      <c r="H33" s="152"/>
    </row>
    <row r="34" customFormat="false" ht="15" hidden="false" customHeight="true" outlineLevel="0" collapsed="false">
      <c r="B34" s="143"/>
      <c r="C34" s="143"/>
      <c r="D34" s="143" t="s">
        <v>303</v>
      </c>
      <c r="E34" s="143"/>
      <c r="F34" s="145" t="n">
        <v>0.1</v>
      </c>
      <c r="G34" s="152"/>
      <c r="H34" s="152"/>
    </row>
    <row r="35" customFormat="false" ht="15" hidden="false" customHeight="true" outlineLevel="0" collapsed="false">
      <c r="B35" s="143"/>
      <c r="C35" s="143"/>
      <c r="D35" s="143" t="s">
        <v>304</v>
      </c>
      <c r="E35" s="143"/>
      <c r="F35" s="145" t="n">
        <v>0.05</v>
      </c>
      <c r="G35" s="152"/>
      <c r="H35" s="152"/>
    </row>
    <row r="36" customFormat="false" ht="15" hidden="false" customHeight="true" outlineLevel="0" collapsed="false">
      <c r="B36" s="143"/>
      <c r="C36" s="143"/>
      <c r="D36" s="143" t="s">
        <v>305</v>
      </c>
      <c r="E36" s="143"/>
      <c r="F36" s="145" t="n">
        <v>0</v>
      </c>
      <c r="G36" s="152"/>
      <c r="H36" s="152"/>
    </row>
    <row r="37" customFormat="false" ht="15" hidden="false" customHeight="true" outlineLevel="0" collapsed="false">
      <c r="B37" s="143"/>
      <c r="C37" s="143" t="s">
        <v>306</v>
      </c>
      <c r="D37" s="143" t="s">
        <v>307</v>
      </c>
      <c r="E37" s="143"/>
      <c r="F37" s="161" t="n">
        <v>0.08</v>
      </c>
      <c r="G37" s="152"/>
      <c r="H37" s="152"/>
    </row>
    <row r="38" customFormat="false" ht="15" hidden="false" customHeight="true" outlineLevel="0" collapsed="false">
      <c r="B38" s="143"/>
      <c r="C38" s="143"/>
      <c r="D38" s="143" t="s">
        <v>308</v>
      </c>
      <c r="E38" s="143"/>
      <c r="F38" s="161" t="n">
        <v>0.07</v>
      </c>
      <c r="G38" s="152"/>
      <c r="H38" s="152"/>
    </row>
    <row r="39" customFormat="false" ht="15" hidden="false" customHeight="true" outlineLevel="0" collapsed="false">
      <c r="B39" s="143"/>
      <c r="C39" s="143"/>
      <c r="D39" s="143" t="s">
        <v>309</v>
      </c>
      <c r="E39" s="143"/>
      <c r="F39" s="161" t="n">
        <v>0.06</v>
      </c>
      <c r="G39" s="152"/>
      <c r="H39" s="152"/>
    </row>
    <row r="40" customFormat="false" ht="15" hidden="false" customHeight="true" outlineLevel="0" collapsed="false">
      <c r="B40" s="143"/>
      <c r="C40" s="143"/>
      <c r="D40" s="143" t="s">
        <v>310</v>
      </c>
      <c r="E40" s="143"/>
      <c r="F40" s="161" t="n">
        <v>0.04</v>
      </c>
      <c r="G40" s="152"/>
      <c r="H40" s="152"/>
    </row>
    <row r="41" customFormat="false" ht="15" hidden="false" customHeight="true" outlineLevel="0" collapsed="false">
      <c r="B41" s="143"/>
      <c r="C41" s="143"/>
      <c r="D41" s="143" t="s">
        <v>311</v>
      </c>
      <c r="E41" s="143"/>
      <c r="F41" s="161" t="n">
        <v>0</v>
      </c>
      <c r="G41" s="152"/>
      <c r="H41" s="152"/>
    </row>
    <row r="42" customFormat="false" ht="15" hidden="false" customHeight="true" outlineLevel="0" collapsed="false">
      <c r="B42" s="155" t="n">
        <v>5</v>
      </c>
      <c r="C42" s="141" t="s">
        <v>312</v>
      </c>
      <c r="D42" s="141"/>
      <c r="E42" s="141"/>
      <c r="F42" s="141"/>
      <c r="G42" s="160"/>
      <c r="H42" s="154"/>
    </row>
    <row r="43" customFormat="false" ht="15" hidden="false" customHeight="true" outlineLevel="0" collapsed="false">
      <c r="B43" s="143"/>
      <c r="C43" s="143" t="s">
        <v>313</v>
      </c>
      <c r="D43" s="143" t="s">
        <v>314</v>
      </c>
      <c r="E43" s="143"/>
      <c r="F43" s="162" t="n">
        <v>0.08</v>
      </c>
      <c r="G43" s="152" t="str">
        <f aca="false">G32</f>
        <v>Loan statements</v>
      </c>
      <c r="H43" s="152" t="str">
        <f aca="false">H32</f>
        <v>Can be generated from CBS</v>
      </c>
    </row>
    <row r="44" customFormat="false" ht="15" hidden="false" customHeight="true" outlineLevel="0" collapsed="false">
      <c r="B44" s="143"/>
      <c r="C44" s="143"/>
      <c r="D44" s="143" t="s">
        <v>315</v>
      </c>
      <c r="E44" s="143"/>
      <c r="F44" s="162" t="n">
        <v>0.07</v>
      </c>
      <c r="G44" s="152"/>
      <c r="H44" s="152"/>
    </row>
    <row r="45" customFormat="false" ht="15" hidden="false" customHeight="true" outlineLevel="0" collapsed="false">
      <c r="B45" s="143"/>
      <c r="C45" s="143"/>
      <c r="D45" s="143" t="s">
        <v>316</v>
      </c>
      <c r="E45" s="143"/>
      <c r="F45" s="162" t="n">
        <v>0.03</v>
      </c>
      <c r="G45" s="152"/>
      <c r="H45" s="152"/>
    </row>
    <row r="46" customFormat="false" ht="28.5" hidden="false" customHeight="true" outlineLevel="0" collapsed="false">
      <c r="B46" s="143"/>
      <c r="C46" s="143"/>
      <c r="D46" s="143" t="s">
        <v>317</v>
      </c>
      <c r="E46" s="143"/>
      <c r="F46" s="162" t="n">
        <v>0</v>
      </c>
      <c r="G46" s="152"/>
      <c r="H46" s="152"/>
    </row>
    <row r="47" customFormat="false" ht="15" hidden="false" customHeight="true" outlineLevel="0" collapsed="false">
      <c r="B47" s="143"/>
      <c r="C47" s="143" t="s">
        <v>318</v>
      </c>
      <c r="D47" s="163" t="s">
        <v>319</v>
      </c>
      <c r="E47" s="163"/>
      <c r="F47" s="145" t="n">
        <v>0.13</v>
      </c>
      <c r="G47" s="152"/>
      <c r="H47" s="152"/>
    </row>
    <row r="48" customFormat="false" ht="15" hidden="false" customHeight="true" outlineLevel="0" collapsed="false">
      <c r="B48" s="143"/>
      <c r="C48" s="143"/>
      <c r="D48" s="143" t="s">
        <v>320</v>
      </c>
      <c r="E48" s="143"/>
      <c r="F48" s="145" t="n">
        <v>0.12</v>
      </c>
      <c r="G48" s="152"/>
      <c r="H48" s="152"/>
    </row>
    <row r="49" customFormat="false" ht="15" hidden="false" customHeight="true" outlineLevel="0" collapsed="false">
      <c r="B49" s="143"/>
      <c r="C49" s="143"/>
      <c r="D49" s="143" t="s">
        <v>321</v>
      </c>
      <c r="E49" s="143"/>
      <c r="F49" s="164" t="n">
        <v>0.07</v>
      </c>
      <c r="G49" s="152"/>
      <c r="H49" s="152"/>
    </row>
    <row r="50" customFormat="false" ht="15" hidden="false" customHeight="true" outlineLevel="0" collapsed="false">
      <c r="B50" s="143"/>
      <c r="C50" s="143"/>
      <c r="D50" s="143" t="s">
        <v>322</v>
      </c>
      <c r="E50" s="143"/>
      <c r="F50" s="164" t="n">
        <v>0.05</v>
      </c>
      <c r="G50" s="152"/>
      <c r="H50" s="152"/>
    </row>
    <row r="51" customFormat="false" ht="15" hidden="false" customHeight="true" outlineLevel="0" collapsed="false">
      <c r="B51" s="143"/>
      <c r="C51" s="143"/>
      <c r="D51" s="143" t="s">
        <v>323</v>
      </c>
      <c r="E51" s="143"/>
      <c r="F51" s="164" t="n">
        <v>0.02</v>
      </c>
      <c r="G51" s="152"/>
      <c r="H51" s="152"/>
    </row>
    <row r="52" customFormat="false" ht="15" hidden="false" customHeight="true" outlineLevel="0" collapsed="false">
      <c r="B52" s="143"/>
      <c r="C52" s="143"/>
      <c r="D52" s="143" t="s">
        <v>212</v>
      </c>
      <c r="E52" s="143"/>
      <c r="F52" s="164" t="n">
        <v>0</v>
      </c>
      <c r="G52" s="152"/>
      <c r="H52" s="152"/>
    </row>
    <row r="53" customFormat="false" ht="15" hidden="false" customHeight="true" outlineLevel="0" collapsed="false">
      <c r="B53" s="155" t="n">
        <v>6</v>
      </c>
      <c r="C53" s="165" t="s">
        <v>324</v>
      </c>
      <c r="D53" s="165"/>
      <c r="E53" s="165"/>
      <c r="F53" s="143"/>
      <c r="G53" s="160"/>
      <c r="H53" s="154"/>
    </row>
    <row r="54" customFormat="false" ht="15" hidden="false" customHeight="true" outlineLevel="0" collapsed="false">
      <c r="B54" s="143"/>
      <c r="C54" s="143" t="s">
        <v>325</v>
      </c>
      <c r="D54" s="143" t="s">
        <v>326</v>
      </c>
      <c r="E54" s="143"/>
      <c r="F54" s="164" t="n">
        <v>0.13</v>
      </c>
      <c r="G54" s="152" t="str">
        <f aca="false">G43</f>
        <v>Loan statements</v>
      </c>
      <c r="H54" s="152" t="str">
        <f aca="false">H43</f>
        <v>Can be generated from CBS</v>
      </c>
    </row>
    <row r="55" customFormat="false" ht="15" hidden="false" customHeight="true" outlineLevel="0" collapsed="false">
      <c r="B55" s="143"/>
      <c r="C55" s="143"/>
      <c r="D55" s="143" t="s">
        <v>327</v>
      </c>
      <c r="E55" s="143"/>
      <c r="F55" s="164" t="n">
        <v>0.1</v>
      </c>
      <c r="G55" s="152"/>
      <c r="H55" s="152"/>
    </row>
    <row r="56" customFormat="false" ht="15" hidden="false" customHeight="true" outlineLevel="0" collapsed="false">
      <c r="B56" s="143"/>
      <c r="C56" s="143"/>
      <c r="D56" s="143" t="s">
        <v>294</v>
      </c>
      <c r="E56" s="143"/>
      <c r="F56" s="164" t="n">
        <v>0.05</v>
      </c>
      <c r="G56" s="152"/>
      <c r="H56" s="152"/>
    </row>
    <row r="57" customFormat="false" ht="15" hidden="false" customHeight="true" outlineLevel="0" collapsed="false">
      <c r="B57" s="143"/>
      <c r="C57" s="143"/>
      <c r="D57" s="143" t="s">
        <v>328</v>
      </c>
      <c r="E57" s="143"/>
      <c r="F57" s="145" t="n">
        <v>0</v>
      </c>
      <c r="G57" s="152"/>
      <c r="H57" s="152"/>
    </row>
    <row r="58" customFormat="false" ht="15" hidden="false" customHeight="true" outlineLevel="0" collapsed="false">
      <c r="B58" s="143"/>
      <c r="C58" s="143" t="s">
        <v>329</v>
      </c>
      <c r="D58" s="143" t="s">
        <v>330</v>
      </c>
      <c r="E58" s="143"/>
      <c r="F58" s="145" t="n">
        <v>0.08</v>
      </c>
      <c r="G58" s="152"/>
      <c r="H58" s="152"/>
    </row>
    <row r="59" customFormat="false" ht="15" hidden="false" customHeight="true" outlineLevel="0" collapsed="false">
      <c r="B59" s="143"/>
      <c r="C59" s="143"/>
      <c r="D59" s="143" t="s">
        <v>135</v>
      </c>
      <c r="E59" s="143"/>
      <c r="F59" s="145" t="n">
        <v>0.07</v>
      </c>
      <c r="G59" s="152"/>
      <c r="H59" s="152"/>
    </row>
    <row r="60" customFormat="false" ht="15" hidden="false" customHeight="true" outlineLevel="0" collapsed="false">
      <c r="B60" s="143"/>
      <c r="C60" s="143"/>
      <c r="D60" s="143" t="s">
        <v>331</v>
      </c>
      <c r="E60" s="143"/>
      <c r="F60" s="145" t="n">
        <v>0.05</v>
      </c>
      <c r="G60" s="152"/>
      <c r="H60" s="152"/>
    </row>
    <row r="61" customFormat="false" ht="15" hidden="false" customHeight="true" outlineLevel="0" collapsed="false">
      <c r="B61" s="143"/>
      <c r="C61" s="143"/>
      <c r="D61" s="143" t="s">
        <v>212</v>
      </c>
      <c r="E61" s="143"/>
      <c r="F61" s="145" t="n">
        <v>0</v>
      </c>
      <c r="G61" s="152"/>
      <c r="H61" s="152"/>
    </row>
    <row r="62" customFormat="false" ht="15" hidden="false" customHeight="true" outlineLevel="0" collapsed="false">
      <c r="B62" s="155" t="n">
        <v>7</v>
      </c>
      <c r="C62" s="141" t="s">
        <v>332</v>
      </c>
      <c r="D62" s="141"/>
      <c r="E62" s="141"/>
      <c r="F62" s="141"/>
      <c r="G62" s="154"/>
      <c r="H62" s="154"/>
    </row>
    <row r="63" customFormat="false" ht="15" hidden="false" customHeight="true" outlineLevel="0" collapsed="false">
      <c r="B63" s="143"/>
      <c r="C63" s="143" t="s">
        <v>333</v>
      </c>
      <c r="D63" s="144" t="s">
        <v>334</v>
      </c>
      <c r="E63" s="144"/>
      <c r="F63" s="164" t="n">
        <v>0.25</v>
      </c>
      <c r="G63" s="159" t="s">
        <v>335</v>
      </c>
      <c r="H63" s="159" t="s">
        <v>336</v>
      </c>
    </row>
    <row r="64" customFormat="false" ht="15" hidden="false" customHeight="true" outlineLevel="0" collapsed="false">
      <c r="B64" s="143"/>
      <c r="C64" s="143"/>
      <c r="D64" s="144" t="s">
        <v>337</v>
      </c>
      <c r="E64" s="144"/>
      <c r="F64" s="164" t="n">
        <v>0.15</v>
      </c>
      <c r="G64" s="159"/>
      <c r="H64" s="159"/>
    </row>
    <row r="65" customFormat="false" ht="15" hidden="false" customHeight="true" outlineLevel="0" collapsed="false">
      <c r="B65" s="143"/>
      <c r="C65" s="143"/>
      <c r="D65" s="144" t="s">
        <v>338</v>
      </c>
      <c r="E65" s="144"/>
      <c r="F65" s="164" t="n">
        <v>0</v>
      </c>
      <c r="G65" s="159"/>
      <c r="H65" s="159"/>
    </row>
    <row r="66" customFormat="false" ht="15" hidden="false" customHeight="true" outlineLevel="0" collapsed="false">
      <c r="B66" s="143" t="n">
        <v>8</v>
      </c>
      <c r="C66" s="165" t="s">
        <v>339</v>
      </c>
      <c r="D66" s="165"/>
      <c r="E66" s="144"/>
      <c r="F66" s="164"/>
      <c r="G66" s="154"/>
      <c r="H66" s="154"/>
    </row>
    <row r="67" customFormat="false" ht="15" hidden="false" customHeight="true" outlineLevel="0" collapsed="false">
      <c r="B67" s="166"/>
      <c r="C67" s="157" t="s">
        <v>340</v>
      </c>
      <c r="D67" s="157" t="s">
        <v>341</v>
      </c>
      <c r="E67" s="157"/>
      <c r="F67" s="167" t="n">
        <v>0.04</v>
      </c>
      <c r="G67" s="159" t="str">
        <f aca="false">G17</f>
        <v>CIC</v>
      </c>
      <c r="H67" s="159" t="s">
        <v>279</v>
      </c>
    </row>
    <row r="68" customFormat="false" ht="15" hidden="false" customHeight="true" outlineLevel="0" collapsed="false">
      <c r="B68" s="166"/>
      <c r="C68" s="157"/>
      <c r="D68" s="157" t="s">
        <v>342</v>
      </c>
      <c r="E68" s="157"/>
      <c r="F68" s="167" t="n">
        <v>0.035</v>
      </c>
      <c r="G68" s="159"/>
      <c r="H68" s="159"/>
      <c r="I68" s="149" t="s">
        <v>343</v>
      </c>
    </row>
    <row r="69" customFormat="false" ht="15" hidden="false" customHeight="true" outlineLevel="0" collapsed="false">
      <c r="B69" s="166"/>
      <c r="C69" s="157"/>
      <c r="D69" s="157" t="s">
        <v>344</v>
      </c>
      <c r="E69" s="157"/>
      <c r="F69" s="168" t="n">
        <v>0.025</v>
      </c>
      <c r="G69" s="159"/>
      <c r="H69" s="159"/>
    </row>
    <row r="70" customFormat="false" ht="15" hidden="false" customHeight="true" outlineLevel="0" collapsed="false">
      <c r="B70" s="166"/>
      <c r="C70" s="157"/>
      <c r="D70" s="157" t="s">
        <v>345</v>
      </c>
      <c r="E70" s="157"/>
      <c r="F70" s="167" t="n">
        <v>0.015</v>
      </c>
      <c r="G70" s="159"/>
      <c r="H70" s="159"/>
    </row>
    <row r="71" customFormat="false" ht="15" hidden="false" customHeight="true" outlineLevel="0" collapsed="false">
      <c r="B71" s="166"/>
      <c r="C71" s="157"/>
      <c r="D71" s="157" t="s">
        <v>346</v>
      </c>
      <c r="E71" s="157"/>
      <c r="F71" s="168" t="n">
        <v>0.01</v>
      </c>
      <c r="G71" s="159"/>
      <c r="H71" s="159"/>
    </row>
  </sheetData>
  <mergeCells count="108">
    <mergeCell ref="D1:E1"/>
    <mergeCell ref="B2:G2"/>
    <mergeCell ref="C3:G3"/>
    <mergeCell ref="B4:B16"/>
    <mergeCell ref="G4:G16"/>
    <mergeCell ref="H4:H16"/>
    <mergeCell ref="C5:C7"/>
    <mergeCell ref="D5:E5"/>
    <mergeCell ref="D6:E6"/>
    <mergeCell ref="D7:E7"/>
    <mergeCell ref="C8:C12"/>
    <mergeCell ref="D8:E8"/>
    <mergeCell ref="D9:E9"/>
    <mergeCell ref="D10:E10"/>
    <mergeCell ref="D11:E11"/>
    <mergeCell ref="D12:E12"/>
    <mergeCell ref="C13:C16"/>
    <mergeCell ref="D13:E13"/>
    <mergeCell ref="D14:E14"/>
    <mergeCell ref="D15:E15"/>
    <mergeCell ref="D16:E16"/>
    <mergeCell ref="C17:E17"/>
    <mergeCell ref="G17:G26"/>
    <mergeCell ref="H17:H26"/>
    <mergeCell ref="B18:B26"/>
    <mergeCell ref="C18:C21"/>
    <mergeCell ref="D18:E18"/>
    <mergeCell ref="D19:E19"/>
    <mergeCell ref="D20:E20"/>
    <mergeCell ref="D21:E21"/>
    <mergeCell ref="C22:C26"/>
    <mergeCell ref="D22:E22"/>
    <mergeCell ref="D23:E23"/>
    <mergeCell ref="D24:E24"/>
    <mergeCell ref="D25:E25"/>
    <mergeCell ref="D26:E26"/>
    <mergeCell ref="C27:E27"/>
    <mergeCell ref="B28:B31"/>
    <mergeCell ref="C28:C31"/>
    <mergeCell ref="D28:E28"/>
    <mergeCell ref="G28:G31"/>
    <mergeCell ref="H28:H31"/>
    <mergeCell ref="D29:E29"/>
    <mergeCell ref="D30:E30"/>
    <mergeCell ref="D31:E31"/>
    <mergeCell ref="C32:E32"/>
    <mergeCell ref="G32:G41"/>
    <mergeCell ref="H32:H41"/>
    <mergeCell ref="B33:B41"/>
    <mergeCell ref="C33:C36"/>
    <mergeCell ref="D33:E33"/>
    <mergeCell ref="D34:E34"/>
    <mergeCell ref="D35:E35"/>
    <mergeCell ref="D36:E36"/>
    <mergeCell ref="C37:C41"/>
    <mergeCell ref="D37:E37"/>
    <mergeCell ref="D38:E38"/>
    <mergeCell ref="D39:E39"/>
    <mergeCell ref="D40:E40"/>
    <mergeCell ref="D41:E41"/>
    <mergeCell ref="C42:E42"/>
    <mergeCell ref="B43:B52"/>
    <mergeCell ref="C43:C46"/>
    <mergeCell ref="D43:E43"/>
    <mergeCell ref="G43:G52"/>
    <mergeCell ref="H43:H52"/>
    <mergeCell ref="D44:E44"/>
    <mergeCell ref="D45:E45"/>
    <mergeCell ref="D46:E46"/>
    <mergeCell ref="C47:C52"/>
    <mergeCell ref="D47:E47"/>
    <mergeCell ref="D48:E48"/>
    <mergeCell ref="D49:E49"/>
    <mergeCell ref="D50:E50"/>
    <mergeCell ref="D51:E51"/>
    <mergeCell ref="D52:E52"/>
    <mergeCell ref="C53:E53"/>
    <mergeCell ref="B54:B61"/>
    <mergeCell ref="C54:C57"/>
    <mergeCell ref="D54:E54"/>
    <mergeCell ref="G54:G61"/>
    <mergeCell ref="H54:H61"/>
    <mergeCell ref="D55:E55"/>
    <mergeCell ref="D56:E56"/>
    <mergeCell ref="D57:E57"/>
    <mergeCell ref="C58:C61"/>
    <mergeCell ref="D58:E58"/>
    <mergeCell ref="D59:E59"/>
    <mergeCell ref="D60:E60"/>
    <mergeCell ref="D61:E61"/>
    <mergeCell ref="C62:E62"/>
    <mergeCell ref="B63:B65"/>
    <mergeCell ref="C63:C65"/>
    <mergeCell ref="D63:E63"/>
    <mergeCell ref="G63:G65"/>
    <mergeCell ref="H63:H65"/>
    <mergeCell ref="D64:E64"/>
    <mergeCell ref="D65:E65"/>
    <mergeCell ref="C66:D66"/>
    <mergeCell ref="B67:B71"/>
    <mergeCell ref="C67:C71"/>
    <mergeCell ref="D67:E67"/>
    <mergeCell ref="G67:G71"/>
    <mergeCell ref="H67:H71"/>
    <mergeCell ref="D68:E68"/>
    <mergeCell ref="D69:E69"/>
    <mergeCell ref="D70:E70"/>
    <mergeCell ref="D71:E7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8" activeCellId="0" sqref="G18"/>
    </sheetView>
  </sheetViews>
  <sheetFormatPr defaultColWidth="8.73046875" defaultRowHeight="13.5" customHeight="true" zeroHeight="false" outlineLevelRow="0" outlineLevelCol="0"/>
  <cols>
    <col collapsed="false" customWidth="false" hidden="false" outlineLevel="0" max="1" min="1" style="149" width="8.73"/>
    <col collapsed="false" customWidth="true" hidden="false" outlineLevel="0" max="2" min="2" style="149" width="66"/>
    <col collapsed="false" customWidth="true" hidden="false" outlineLevel="0" max="3" min="3" style="149" width="12.63"/>
    <col collapsed="false" customWidth="true" hidden="false" outlineLevel="0" max="4" min="4" style="149" width="7.54"/>
    <col collapsed="false" customWidth="true" hidden="false" outlineLevel="0" max="5" min="5" style="149" width="14.73"/>
    <col collapsed="false" customWidth="false" hidden="false" outlineLevel="0" max="16384" min="6" style="149" width="8.73"/>
  </cols>
  <sheetData>
    <row r="3" customFormat="false" ht="15" hidden="false" customHeight="true" outlineLevel="0" collapsed="false">
      <c r="B3" s="151" t="s">
        <v>347</v>
      </c>
      <c r="C3" s="151"/>
      <c r="D3" s="151"/>
      <c r="E3" s="169" t="str">
        <f aca="false">'Credit History 25'!G1</f>
        <v>Source of Data</v>
      </c>
    </row>
    <row r="4" customFormat="false" ht="15" hidden="false" customHeight="false" outlineLevel="0" collapsed="false">
      <c r="B4" s="165" t="s">
        <v>237</v>
      </c>
      <c r="C4" s="165" t="s">
        <v>238</v>
      </c>
      <c r="D4" s="165" t="s">
        <v>113</v>
      </c>
      <c r="E4" s="154"/>
    </row>
    <row r="5" customFormat="false" ht="15" hidden="false" customHeight="true" outlineLevel="0" collapsed="false">
      <c r="B5" s="157" t="s">
        <v>348</v>
      </c>
      <c r="C5" s="157" t="s">
        <v>349</v>
      </c>
      <c r="D5" s="167" t="n">
        <v>0.04</v>
      </c>
      <c r="E5" s="159" t="s">
        <v>350</v>
      </c>
    </row>
    <row r="6" customFormat="false" ht="15" hidden="false" customHeight="false" outlineLevel="0" collapsed="false">
      <c r="B6" s="157"/>
      <c r="C6" s="157" t="s">
        <v>351</v>
      </c>
      <c r="D6" s="168" t="n">
        <v>0.02</v>
      </c>
      <c r="E6" s="159"/>
    </row>
    <row r="7" customFormat="false" ht="15" hidden="false" customHeight="false" outlineLevel="0" collapsed="false">
      <c r="B7" s="157"/>
      <c r="C7" s="157" t="s">
        <v>352</v>
      </c>
      <c r="D7" s="168" t="n">
        <v>0.01</v>
      </c>
      <c r="E7" s="159"/>
    </row>
    <row r="8" customFormat="false" ht="15" hidden="false" customHeight="false" outlineLevel="0" collapsed="false">
      <c r="B8" s="157"/>
      <c r="C8" s="157" t="s">
        <v>353</v>
      </c>
      <c r="D8" s="167" t="n">
        <v>0.005</v>
      </c>
      <c r="E8" s="159"/>
    </row>
    <row r="9" customFormat="false" ht="15" hidden="false" customHeight="true" outlineLevel="0" collapsed="false">
      <c r="B9" s="170" t="s">
        <v>354</v>
      </c>
      <c r="C9" s="157" t="s">
        <v>355</v>
      </c>
      <c r="D9" s="168" t="n">
        <v>0.06</v>
      </c>
      <c r="E9" s="159" t="s">
        <v>350</v>
      </c>
    </row>
    <row r="10" customFormat="false" ht="15" hidden="false" customHeight="false" outlineLevel="0" collapsed="false">
      <c r="B10" s="170"/>
      <c r="C10" s="157" t="s">
        <v>356</v>
      </c>
      <c r="D10" s="168" t="n">
        <v>0.05</v>
      </c>
      <c r="E10" s="159"/>
    </row>
    <row r="11" customFormat="false" ht="15" hidden="false" customHeight="false" outlineLevel="0" collapsed="false">
      <c r="B11" s="170"/>
      <c r="C11" s="157" t="s">
        <v>357</v>
      </c>
      <c r="D11" s="168" t="n">
        <v>0.04</v>
      </c>
      <c r="E11" s="159"/>
    </row>
    <row r="12" customFormat="false" ht="15" hidden="false" customHeight="false" outlineLevel="0" collapsed="false">
      <c r="B12" s="170"/>
      <c r="C12" s="157" t="s">
        <v>358</v>
      </c>
      <c r="D12" s="168" t="n">
        <v>0.03</v>
      </c>
      <c r="E12" s="159"/>
      <c r="F12" s="149" t="s">
        <v>359</v>
      </c>
    </row>
    <row r="13" customFormat="false" ht="15" hidden="false" customHeight="false" outlineLevel="0" collapsed="false">
      <c r="B13" s="170"/>
      <c r="C13" s="157" t="s">
        <v>360</v>
      </c>
      <c r="D13" s="168" t="n">
        <v>0.02</v>
      </c>
      <c r="E13" s="159"/>
    </row>
    <row r="14" customFormat="false" ht="15" hidden="false" customHeight="false" outlineLevel="0" collapsed="false">
      <c r="B14" s="170"/>
      <c r="C14" s="157" t="s">
        <v>361</v>
      </c>
      <c r="D14" s="168" t="n">
        <v>0.01</v>
      </c>
      <c r="E14" s="159"/>
    </row>
    <row r="15" customFormat="false" ht="15" hidden="false" customHeight="false" outlineLevel="0" collapsed="false">
      <c r="B15" s="170"/>
      <c r="C15" s="157" t="s">
        <v>362</v>
      </c>
      <c r="D15" s="168" t="n">
        <v>0</v>
      </c>
      <c r="E15" s="159"/>
    </row>
    <row r="16" customFormat="false" ht="13.5" hidden="false" customHeight="false" outlineLevel="0" collapsed="false">
      <c r="B16" s="171"/>
      <c r="C16" s="171"/>
      <c r="D16" s="172" t="n">
        <f aca="false">D9+D5</f>
        <v>0.1</v>
      </c>
    </row>
    <row r="17" customFormat="false" ht="13.5" hidden="false" customHeight="false" outlineLevel="0" collapsed="false">
      <c r="B17" s="171"/>
      <c r="C17" s="171"/>
      <c r="D17" s="171"/>
    </row>
  </sheetData>
  <mergeCells count="5">
    <mergeCell ref="B3:D3"/>
    <mergeCell ref="B5:B8"/>
    <mergeCell ref="E5:E8"/>
    <mergeCell ref="B9:B15"/>
    <mergeCell ref="E9: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0" activeCellId="0" sqref="H20"/>
    </sheetView>
  </sheetViews>
  <sheetFormatPr defaultColWidth="8.73046875" defaultRowHeight="13.5" customHeight="true" zeroHeight="false" outlineLevelRow="0" outlineLevelCol="0"/>
  <cols>
    <col collapsed="false" customWidth="false" hidden="false" outlineLevel="0" max="1" min="1" style="149" width="8.73"/>
    <col collapsed="false" customWidth="true" hidden="false" outlineLevel="0" max="2" min="2" style="149" width="46"/>
    <col collapsed="false" customWidth="true" hidden="false" outlineLevel="0" max="3" min="3" style="149" width="32.45"/>
    <col collapsed="false" customWidth="true" hidden="false" outlineLevel="0" max="4" min="4" style="149" width="7.09"/>
    <col collapsed="false" customWidth="true" hidden="false" outlineLevel="0" max="5" min="5" style="149" width="27.91"/>
    <col collapsed="false" customWidth="true" hidden="false" outlineLevel="0" max="6" min="6" style="149" width="14.91"/>
    <col collapsed="false" customWidth="false" hidden="false" outlineLevel="0" max="16384" min="7" style="149" width="8.73"/>
  </cols>
  <sheetData>
    <row r="3" customFormat="false" ht="26.85" hidden="false" customHeight="true" outlineLevel="0" collapsed="false">
      <c r="B3" s="151" t="s">
        <v>363</v>
      </c>
      <c r="C3" s="151"/>
      <c r="D3" s="151"/>
      <c r="E3" s="169" t="str">
        <f aca="false">'Banking Relationship 9'!E3</f>
        <v>Source of Data</v>
      </c>
      <c r="F3" s="152" t="str">
        <f aca="false">'Credit History 25'!H1</f>
        <v>Responsible Organ</v>
      </c>
    </row>
    <row r="4" customFormat="false" ht="15" hidden="false" customHeight="false" outlineLevel="0" collapsed="false">
      <c r="B4" s="165" t="s">
        <v>237</v>
      </c>
      <c r="C4" s="165" t="s">
        <v>238</v>
      </c>
      <c r="D4" s="165" t="s">
        <v>113</v>
      </c>
      <c r="E4" s="159" t="str">
        <f aca="false">'Industry attractiveness 10'!F4:F13</f>
        <v>Credit Appraisal Assessment</v>
      </c>
      <c r="F4" s="159" t="str">
        <f aca="false">'Industry attractiveness 10'!G4:G13</f>
        <v>Credit Analysts</v>
      </c>
    </row>
    <row r="5" customFormat="false" ht="17.25" hidden="false" customHeight="true" outlineLevel="0" collapsed="false">
      <c r="B5" s="173" t="s">
        <v>364</v>
      </c>
      <c r="C5" s="173" t="s">
        <v>365</v>
      </c>
      <c r="D5" s="174" t="n">
        <v>0.02</v>
      </c>
      <c r="E5" s="159"/>
      <c r="F5" s="159"/>
      <c r="G5" s="149" t="s">
        <v>343</v>
      </c>
    </row>
    <row r="6" customFormat="false" ht="15" hidden="false" customHeight="false" outlineLevel="0" collapsed="false">
      <c r="B6" s="173"/>
      <c r="C6" s="173" t="s">
        <v>249</v>
      </c>
      <c r="D6" s="174" t="n">
        <v>0.01</v>
      </c>
      <c r="E6" s="159"/>
      <c r="F6" s="159"/>
    </row>
    <row r="7" customFormat="false" ht="15" hidden="false" customHeight="false" outlineLevel="0" collapsed="false">
      <c r="B7" s="173"/>
      <c r="C7" s="173" t="s">
        <v>366</v>
      </c>
      <c r="D7" s="174" t="n">
        <v>0</v>
      </c>
      <c r="E7" s="159"/>
      <c r="F7" s="159"/>
    </row>
    <row r="8" customFormat="false" ht="17.25" hidden="false" customHeight="true" outlineLevel="0" collapsed="false">
      <c r="B8" s="173" t="s">
        <v>367</v>
      </c>
      <c r="C8" s="173" t="s">
        <v>368</v>
      </c>
      <c r="D8" s="174" t="n">
        <v>0.02</v>
      </c>
      <c r="E8" s="159"/>
      <c r="F8" s="159"/>
    </row>
    <row r="9" customFormat="false" ht="20.25" hidden="false" customHeight="true" outlineLevel="0" collapsed="false">
      <c r="B9" s="173"/>
      <c r="C9" s="173" t="s">
        <v>369</v>
      </c>
      <c r="D9" s="174" t="n">
        <v>0.015</v>
      </c>
      <c r="E9" s="159"/>
      <c r="F9" s="159"/>
      <c r="G9" s="149" t="s">
        <v>370</v>
      </c>
    </row>
    <row r="10" customFormat="false" ht="18" hidden="false" customHeight="true" outlineLevel="0" collapsed="false">
      <c r="B10" s="173"/>
      <c r="C10" s="173" t="s">
        <v>371</v>
      </c>
      <c r="D10" s="174" t="n">
        <v>0.01</v>
      </c>
      <c r="E10" s="159"/>
      <c r="F10" s="159"/>
    </row>
    <row r="11" customFormat="false" ht="17.25" hidden="false" customHeight="true" outlineLevel="0" collapsed="false">
      <c r="B11" s="173"/>
      <c r="C11" s="173" t="s">
        <v>372</v>
      </c>
      <c r="D11" s="174" t="n">
        <v>0</v>
      </c>
      <c r="E11" s="159"/>
      <c r="F11" s="159"/>
    </row>
    <row r="12" customFormat="false" ht="17.25" hidden="false" customHeight="true" outlineLevel="0" collapsed="false">
      <c r="B12" s="173" t="s">
        <v>373</v>
      </c>
      <c r="C12" s="173" t="s">
        <v>374</v>
      </c>
      <c r="D12" s="174" t="n">
        <v>0.02</v>
      </c>
      <c r="E12" s="159"/>
      <c r="F12" s="159"/>
      <c r="G12" s="149" t="s">
        <v>370</v>
      </c>
    </row>
    <row r="13" customFormat="false" ht="15" hidden="false" customHeight="false" outlineLevel="0" collapsed="false">
      <c r="B13" s="173"/>
      <c r="C13" s="173" t="s">
        <v>249</v>
      </c>
      <c r="D13" s="174" t="n">
        <v>0.01</v>
      </c>
      <c r="E13" s="159"/>
      <c r="F13" s="159"/>
    </row>
    <row r="14" customFormat="false" ht="15" hidden="false" customHeight="false" outlineLevel="0" collapsed="false">
      <c r="B14" s="173"/>
      <c r="C14" s="173" t="s">
        <v>366</v>
      </c>
      <c r="D14" s="174" t="n">
        <v>0</v>
      </c>
      <c r="E14" s="159"/>
      <c r="F14" s="159"/>
    </row>
    <row r="15" customFormat="false" ht="13.5" hidden="false" customHeight="false" outlineLevel="0" collapsed="false">
      <c r="B15" s="171"/>
      <c r="C15" s="171"/>
      <c r="D15" s="172" t="n">
        <f aca="false">D5+D8+D12</f>
        <v>0.06</v>
      </c>
    </row>
    <row r="16" customFormat="false" ht="13.5" hidden="false" customHeight="false" outlineLevel="0" collapsed="false">
      <c r="B16" s="171"/>
      <c r="C16" s="171"/>
      <c r="D16" s="171"/>
    </row>
  </sheetData>
  <mergeCells count="6">
    <mergeCell ref="B3:D3"/>
    <mergeCell ref="E4:E14"/>
    <mergeCell ref="F4:F14"/>
    <mergeCell ref="B5:B7"/>
    <mergeCell ref="B8:B11"/>
    <mergeCell ref="B12:B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8.59765625" defaultRowHeight="14.25" customHeight="true" zeroHeight="false" outlineLevelRow="0" outlineLevelCol="0"/>
  <cols>
    <col collapsed="false" customWidth="true" hidden="false" outlineLevel="0" max="3" min="3" style="0" width="17.45"/>
    <col collapsed="false" customWidth="true" hidden="false" outlineLevel="0" max="4" min="4" style="0" width="36.9"/>
    <col collapsed="false" customWidth="true" hidden="false" outlineLevel="0" max="5" min="5" style="0" width="12.9"/>
    <col collapsed="false" customWidth="true" hidden="false" outlineLevel="0" max="6" min="6" style="0" width="13.18"/>
    <col collapsed="false" customWidth="true" hidden="false" outlineLevel="0" max="7" min="7" style="0" width="12.18"/>
  </cols>
  <sheetData>
    <row r="2" customFormat="false" ht="14.25" hidden="false" customHeight="false" outlineLevel="0" collapsed="false">
      <c r="B2" s="175"/>
    </row>
    <row r="3" customFormat="false" ht="31.3" hidden="false" customHeight="false" outlineLevel="0" collapsed="false">
      <c r="B3" s="131" t="s">
        <v>375</v>
      </c>
      <c r="C3" s="131"/>
      <c r="D3" s="131"/>
      <c r="E3" s="131"/>
      <c r="F3" s="176" t="str">
        <f aca="false">'Integrity 6'!E3</f>
        <v>Source of Data</v>
      </c>
      <c r="G3" s="177" t="str">
        <f aca="false">'Integrity 6'!F3</f>
        <v>Responsible Organ</v>
      </c>
    </row>
    <row r="4" customFormat="false" ht="17.9" hidden="false" customHeight="false" outlineLevel="0" collapsed="false">
      <c r="B4" s="132" t="s">
        <v>376</v>
      </c>
      <c r="C4" s="178" t="s">
        <v>237</v>
      </c>
      <c r="D4" s="178" t="s">
        <v>238</v>
      </c>
      <c r="E4" s="178" t="s">
        <v>113</v>
      </c>
      <c r="F4" s="179"/>
      <c r="G4" s="122" t="s">
        <v>377</v>
      </c>
    </row>
    <row r="5" customFormat="false" ht="15" hidden="false" customHeight="true" outlineLevel="0" collapsed="false">
      <c r="B5" s="128" t="n">
        <v>1</v>
      </c>
      <c r="C5" s="128" t="s">
        <v>378</v>
      </c>
      <c r="D5" s="180" t="s">
        <v>379</v>
      </c>
      <c r="E5" s="181" t="n">
        <v>0.04</v>
      </c>
      <c r="F5" s="177" t="s">
        <v>335</v>
      </c>
      <c r="G5" s="122"/>
    </row>
    <row r="6" customFormat="false" ht="17.9" hidden="false" customHeight="false" outlineLevel="0" collapsed="false">
      <c r="B6" s="128"/>
      <c r="C6" s="128"/>
      <c r="D6" s="128" t="s">
        <v>380</v>
      </c>
      <c r="E6" s="181" t="n">
        <v>0.03</v>
      </c>
      <c r="F6" s="177"/>
      <c r="G6" s="122"/>
    </row>
    <row r="7" customFormat="false" ht="15.75" hidden="false" customHeight="true" outlineLevel="0" collapsed="false">
      <c r="B7" s="128"/>
      <c r="C7" s="128"/>
      <c r="D7" s="128" t="s">
        <v>381</v>
      </c>
      <c r="E7" s="181" t="n">
        <v>0.02</v>
      </c>
      <c r="F7" s="177"/>
      <c r="G7" s="122"/>
    </row>
    <row r="8" customFormat="false" ht="17.9" hidden="false" customHeight="false" outlineLevel="0" collapsed="false">
      <c r="B8" s="128"/>
      <c r="C8" s="128"/>
      <c r="D8" s="128" t="s">
        <v>382</v>
      </c>
      <c r="E8" s="181" t="n">
        <v>0.01</v>
      </c>
      <c r="F8" s="177"/>
      <c r="G8" s="122"/>
    </row>
    <row r="9" customFormat="false" ht="50.7" hidden="false" customHeight="true" outlineLevel="0" collapsed="false">
      <c r="B9" s="128" t="n">
        <v>2</v>
      </c>
      <c r="C9" s="128" t="s">
        <v>383</v>
      </c>
      <c r="D9" s="133" t="s">
        <v>384</v>
      </c>
      <c r="E9" s="181" t="n">
        <v>0.03</v>
      </c>
      <c r="F9" s="177" t="str">
        <f aca="false">F5</f>
        <v>DDR</v>
      </c>
      <c r="G9" s="122"/>
    </row>
    <row r="10" customFormat="false" ht="50.7" hidden="false" customHeight="false" outlineLevel="0" collapsed="false">
      <c r="B10" s="128"/>
      <c r="C10" s="128"/>
      <c r="D10" s="133" t="s">
        <v>385</v>
      </c>
      <c r="E10" s="181" t="n">
        <v>0.02</v>
      </c>
      <c r="F10" s="177"/>
      <c r="G10" s="122"/>
    </row>
    <row r="11" customFormat="false" ht="50.7" hidden="false" customHeight="false" outlineLevel="0" collapsed="false">
      <c r="B11" s="128"/>
      <c r="C11" s="128"/>
      <c r="D11" s="133" t="s">
        <v>386</v>
      </c>
      <c r="E11" s="181" t="n">
        <v>0.01</v>
      </c>
      <c r="F11" s="177"/>
      <c r="G11" s="122"/>
    </row>
    <row r="12" customFormat="false" ht="50.7" hidden="false" customHeight="false" outlineLevel="0" collapsed="false">
      <c r="B12" s="128"/>
      <c r="C12" s="128"/>
      <c r="D12" s="133" t="s">
        <v>387</v>
      </c>
      <c r="E12" s="181" t="n">
        <v>0</v>
      </c>
      <c r="F12" s="177"/>
      <c r="G12" s="122"/>
    </row>
    <row r="13" customFormat="false" ht="50.7" hidden="false" customHeight="true" outlineLevel="0" collapsed="false">
      <c r="B13" s="182" t="n">
        <v>3</v>
      </c>
      <c r="C13" s="128" t="s">
        <v>388</v>
      </c>
      <c r="D13" s="133" t="s">
        <v>389</v>
      </c>
      <c r="E13" s="181" t="n">
        <v>0.02</v>
      </c>
      <c r="F13" s="177" t="str">
        <f aca="false">F9</f>
        <v>DDR</v>
      </c>
      <c r="G13" s="122"/>
    </row>
    <row r="14" customFormat="false" ht="50.7" hidden="false" customHeight="false" outlineLevel="0" collapsed="false">
      <c r="B14" s="182"/>
      <c r="C14" s="128"/>
      <c r="D14" s="133" t="s">
        <v>390</v>
      </c>
      <c r="E14" s="181" t="n">
        <v>0.01</v>
      </c>
      <c r="F14" s="177"/>
      <c r="G14" s="122"/>
    </row>
    <row r="15" customFormat="false" ht="36" hidden="false" customHeight="true" outlineLevel="0" collapsed="false">
      <c r="B15" s="182"/>
      <c r="C15" s="128"/>
      <c r="D15" s="133" t="s">
        <v>391</v>
      </c>
      <c r="E15" s="181" t="n">
        <v>0</v>
      </c>
      <c r="F15" s="177"/>
      <c r="G15" s="122"/>
    </row>
    <row r="16" customFormat="false" ht="14.25" hidden="false" customHeight="false" outlineLevel="0" collapsed="false">
      <c r="B16" s="175"/>
      <c r="E16" s="138" t="n">
        <f aca="false">E13+E9+E5</f>
        <v>0.09</v>
      </c>
    </row>
  </sheetData>
  <mergeCells count="11">
    <mergeCell ref="B3:E3"/>
    <mergeCell ref="G4:G15"/>
    <mergeCell ref="B5:B8"/>
    <mergeCell ref="C5:C8"/>
    <mergeCell ref="F5:F8"/>
    <mergeCell ref="B9:B12"/>
    <mergeCell ref="C9:C12"/>
    <mergeCell ref="F9:F12"/>
    <mergeCell ref="B13:B15"/>
    <mergeCell ref="C13:C15"/>
    <mergeCell ref="F13:F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K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59765625" defaultRowHeight="14.25" customHeight="true" zeroHeight="false" outlineLevelRow="0" outlineLevelCol="0"/>
  <cols>
    <col collapsed="false" customWidth="true" hidden="false" outlineLevel="0" max="2" min="2" style="0" width="16.36"/>
    <col collapsed="false" customWidth="true" hidden="false" outlineLevel="0" max="3" min="3" style="0" width="14.37"/>
    <col collapsed="false" customWidth="true" hidden="false" outlineLevel="0" max="4" min="4" style="0" width="26"/>
    <col collapsed="false" customWidth="true" hidden="false" outlineLevel="0" max="5" min="5" style="0" width="32.36"/>
    <col collapsed="false" customWidth="true" hidden="false" outlineLevel="0" max="8" min="8" style="0" width="27.91"/>
    <col collapsed="false" customWidth="true" hidden="false" outlineLevel="0" max="9" min="9" style="0" width="12.09"/>
  </cols>
  <sheetData>
    <row r="3" customFormat="false" ht="34.3" hidden="false" customHeight="false" outlineLevel="0" collapsed="false">
      <c r="B3" s="178" t="s">
        <v>392</v>
      </c>
      <c r="C3" s="132" t="s">
        <v>393</v>
      </c>
      <c r="D3" s="178" t="s">
        <v>394</v>
      </c>
      <c r="E3" s="178" t="s">
        <v>395</v>
      </c>
    </row>
    <row r="4" customFormat="false" ht="21" hidden="false" customHeight="true" outlineLevel="0" collapsed="false">
      <c r="B4" s="183" t="s">
        <v>396</v>
      </c>
      <c r="C4" s="184" t="s">
        <v>397</v>
      </c>
      <c r="D4" s="184" t="s">
        <v>398</v>
      </c>
      <c r="E4" s="184" t="s">
        <v>399</v>
      </c>
    </row>
    <row r="5" s="185" customFormat="true" ht="17.9" hidden="false" customHeight="false" outlineLevel="0" collapsed="false">
      <c r="B5" s="183" t="s">
        <v>400</v>
      </c>
      <c r="C5" s="184" t="s">
        <v>401</v>
      </c>
      <c r="D5" s="186" t="s">
        <v>402</v>
      </c>
      <c r="E5" s="186" t="s">
        <v>403</v>
      </c>
    </row>
    <row r="6" s="185" customFormat="true" ht="17.9" hidden="false" customHeight="false" outlineLevel="0" collapsed="false">
      <c r="B6" s="183" t="s">
        <v>404</v>
      </c>
      <c r="C6" s="184" t="s">
        <v>405</v>
      </c>
      <c r="D6" s="186" t="s">
        <v>406</v>
      </c>
      <c r="E6" s="186" t="s">
        <v>407</v>
      </c>
    </row>
    <row r="7" s="185" customFormat="true" ht="17.9" hidden="false" customHeight="false" outlineLevel="0" collapsed="false">
      <c r="B7" s="183" t="s">
        <v>408</v>
      </c>
      <c r="C7" s="184" t="s">
        <v>409</v>
      </c>
      <c r="D7" s="186" t="s">
        <v>410</v>
      </c>
      <c r="E7" s="186" t="s">
        <v>411</v>
      </c>
    </row>
    <row r="8" s="185" customFormat="true" ht="18.75" hidden="false" customHeight="true" outlineLevel="0" collapsed="false">
      <c r="B8" s="183" t="s">
        <v>412</v>
      </c>
      <c r="C8" s="184" t="s">
        <v>413</v>
      </c>
      <c r="D8" s="186" t="s">
        <v>414</v>
      </c>
      <c r="E8" s="186" t="s">
        <v>415</v>
      </c>
    </row>
    <row r="9" customFormat="false" ht="14.25" hidden="false" customHeight="false" outlineLevel="0" collapsed="false">
      <c r="G9" s="185"/>
      <c r="H9" s="185"/>
      <c r="I9" s="185"/>
      <c r="J9" s="185"/>
      <c r="K9" s="185"/>
    </row>
    <row r="10" customFormat="false" ht="14.25" hidden="false" customHeight="false" outlineLevel="0" collapsed="false">
      <c r="G10" s="185"/>
      <c r="H10" s="185"/>
      <c r="I10" s="185"/>
      <c r="J10" s="185"/>
      <c r="K10" s="185"/>
    </row>
    <row r="11" customFormat="false" ht="14.25" hidden="false" customHeight="false" outlineLevel="0" collapsed="false">
      <c r="G11" s="185"/>
      <c r="H11" s="185"/>
      <c r="I11" s="185"/>
      <c r="J11" s="185"/>
      <c r="K11" s="185"/>
    </row>
    <row r="12" customFormat="false" ht="14.25" hidden="false" customHeight="false" outlineLevel="0" collapsed="false">
      <c r="G12" s="185"/>
      <c r="H12" s="185"/>
      <c r="I12" s="185"/>
      <c r="J12" s="185"/>
      <c r="K12" s="185"/>
    </row>
    <row r="13" customFormat="false" ht="14.25" hidden="false" customHeight="false" outlineLevel="0" collapsed="false">
      <c r="G13" s="185"/>
      <c r="H13" s="185"/>
      <c r="I13" s="185"/>
      <c r="J13" s="185"/>
      <c r="K13" s="185"/>
    </row>
    <row r="14" customFormat="false" ht="14.25" hidden="false" customHeight="false" outlineLevel="0" collapsed="false">
      <c r="G14" s="185"/>
      <c r="H14" s="185"/>
      <c r="I14" s="185"/>
      <c r="J14" s="185"/>
      <c r="K14" s="185"/>
    </row>
    <row r="15" customFormat="false" ht="14.25" hidden="false" customHeight="false" outlineLevel="0" collapsed="false">
      <c r="G15" s="185"/>
      <c r="H15" s="185"/>
      <c r="I15" s="185"/>
      <c r="J15" s="185"/>
      <c r="K15" s="185"/>
    </row>
    <row r="16" customFormat="false" ht="14.25" hidden="false" customHeight="false" outlineLevel="0" collapsed="false">
      <c r="G16" s="185"/>
      <c r="H16" s="185"/>
      <c r="I16" s="185"/>
      <c r="J16" s="185"/>
      <c r="K16" s="185"/>
    </row>
    <row r="17" customFormat="false" ht="14.25" hidden="false" customHeight="false" outlineLevel="0" collapsed="false">
      <c r="G17" s="185"/>
      <c r="H17" s="185"/>
      <c r="I17" s="185"/>
      <c r="J17" s="185"/>
      <c r="K17" s="185"/>
    </row>
    <row r="18" customFormat="false" ht="14.25" hidden="false" customHeight="false" outlineLevel="0" collapsed="false">
      <c r="G18" s="185"/>
      <c r="H18" s="185"/>
      <c r="I18" s="185"/>
      <c r="J18" s="185"/>
      <c r="K18" s="185"/>
    </row>
    <row r="19" customFormat="false" ht="14.25" hidden="false" customHeight="false" outlineLevel="0" collapsed="false">
      <c r="G19" s="185"/>
      <c r="H19" s="185"/>
      <c r="I19" s="185"/>
      <c r="J19" s="185"/>
      <c r="K19" s="185"/>
    </row>
    <row r="20" customFormat="false" ht="14.25" hidden="false" customHeight="false" outlineLevel="0" collapsed="false">
      <c r="G20" s="185"/>
      <c r="H20" s="185"/>
      <c r="I20" s="185"/>
      <c r="J20" s="185"/>
      <c r="K20" s="185"/>
    </row>
    <row r="21" customFormat="false" ht="14.25" hidden="false" customHeight="false" outlineLevel="0" collapsed="false">
      <c r="G21" s="185"/>
      <c r="H21" s="185"/>
      <c r="I21" s="185"/>
      <c r="J21" s="185"/>
      <c r="K21" s="185"/>
    </row>
    <row r="22" customFormat="false" ht="14.25" hidden="false" customHeight="false" outlineLevel="0" collapsed="false">
      <c r="G22" s="185"/>
      <c r="H22" s="185"/>
      <c r="I22" s="185"/>
      <c r="J22" s="185"/>
      <c r="K22" s="185"/>
    </row>
    <row r="23" customFormat="false" ht="14.25" hidden="false" customHeight="false" outlineLevel="0" collapsed="false">
      <c r="G23" s="185"/>
      <c r="H23" s="185"/>
      <c r="I23" s="185"/>
      <c r="J23" s="185"/>
      <c r="K23" s="185"/>
    </row>
    <row r="24" customFormat="false" ht="14.25" hidden="false" customHeight="false" outlineLevel="0" collapsed="false">
      <c r="G24" s="185"/>
      <c r="H24" s="185"/>
      <c r="I24" s="185"/>
      <c r="J24" s="185"/>
      <c r="K24" s="185"/>
    </row>
    <row r="25" customFormat="false" ht="14.25" hidden="false" customHeight="false" outlineLevel="0" collapsed="false">
      <c r="E25" s="187"/>
      <c r="G25" s="185"/>
      <c r="H25" s="185"/>
      <c r="I25" s="185"/>
      <c r="J25" s="185"/>
      <c r="K25" s="185"/>
    </row>
    <row r="26" customFormat="false" ht="14.25" hidden="false" customHeight="false" outlineLevel="0" collapsed="false">
      <c r="G26" s="185"/>
      <c r="H26" s="185"/>
      <c r="I26" s="185"/>
      <c r="J26" s="185"/>
      <c r="K26" s="185"/>
    </row>
    <row r="27" customFormat="false" ht="14.25" hidden="false" customHeight="false" outlineLevel="0" collapsed="false">
      <c r="G27" s="185"/>
      <c r="H27" s="185"/>
      <c r="I27" s="185"/>
      <c r="J27" s="185"/>
      <c r="K27" s="185"/>
    </row>
    <row r="28" customFormat="false" ht="14.25" hidden="false" customHeight="false" outlineLevel="0" collapsed="false">
      <c r="G28" s="185"/>
      <c r="H28" s="185"/>
      <c r="I28" s="185"/>
      <c r="J28" s="185"/>
      <c r="K28" s="185"/>
    </row>
    <row r="29" customFormat="false" ht="14.25" hidden="false" customHeight="false" outlineLevel="0" collapsed="false">
      <c r="G29" s="185"/>
      <c r="H29" s="185"/>
      <c r="I29" s="185"/>
      <c r="J29" s="185"/>
      <c r="K29" s="18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0"/>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26" activeCellId="0" sqref="C26"/>
    </sheetView>
  </sheetViews>
  <sheetFormatPr defaultColWidth="8.59765625" defaultRowHeight="14.25" customHeight="true" zeroHeight="false" outlineLevelRow="0" outlineLevelCol="0"/>
  <cols>
    <col collapsed="false" customWidth="true" hidden="false" outlineLevel="0" max="2" min="2" style="0" width="19.45"/>
    <col collapsed="false" customWidth="true" hidden="false" outlineLevel="0" max="3" min="3" style="0" width="53.63"/>
    <col collapsed="false" customWidth="true" hidden="false" outlineLevel="0" max="4" min="4" style="0" width="16.9"/>
  </cols>
  <sheetData>
    <row r="2" customFormat="false" ht="14.25" hidden="false" customHeight="false" outlineLevel="0" collapsed="false">
      <c r="B2" s="175"/>
    </row>
    <row r="3" customFormat="false" ht="15" hidden="false" customHeight="false" outlineLevel="0" collapsed="false">
      <c r="B3" s="188" t="s">
        <v>416</v>
      </c>
      <c r="C3" s="188"/>
      <c r="D3" s="154"/>
    </row>
    <row r="4" customFormat="false" ht="15.75" hidden="false" customHeight="true" outlineLevel="0" collapsed="false">
      <c r="B4" s="170" t="s">
        <v>417</v>
      </c>
      <c r="C4" s="144" t="s">
        <v>418</v>
      </c>
      <c r="D4" s="144" t="s">
        <v>113</v>
      </c>
    </row>
    <row r="5" customFormat="false" ht="19.5" hidden="false" customHeight="true" outlineLevel="0" collapsed="false">
      <c r="B5" s="170"/>
      <c r="C5" s="144" t="s">
        <v>419</v>
      </c>
      <c r="D5" s="189" t="n">
        <v>0.2</v>
      </c>
    </row>
    <row r="6" customFormat="false" ht="26.25" hidden="false" customHeight="true" outlineLevel="0" collapsed="false">
      <c r="B6" s="170"/>
      <c r="C6" s="144" t="s">
        <v>420</v>
      </c>
      <c r="D6" s="189" t="n">
        <v>0.18</v>
      </c>
    </row>
    <row r="7" customFormat="false" ht="15" hidden="false" customHeight="false" outlineLevel="0" collapsed="false">
      <c r="B7" s="170"/>
      <c r="C7" s="144" t="s">
        <v>421</v>
      </c>
      <c r="D7" s="189" t="n">
        <v>0.16</v>
      </c>
    </row>
    <row r="8" customFormat="false" ht="15" hidden="false" customHeight="false" outlineLevel="0" collapsed="false">
      <c r="B8" s="170"/>
      <c r="C8" s="144" t="s">
        <v>422</v>
      </c>
      <c r="D8" s="189" t="n">
        <v>0.12</v>
      </c>
    </row>
    <row r="9" customFormat="false" ht="15" hidden="false" customHeight="false" outlineLevel="0" collapsed="false">
      <c r="B9" s="170"/>
      <c r="C9" s="144" t="s">
        <v>423</v>
      </c>
      <c r="D9" s="189" t="n">
        <v>0.14</v>
      </c>
    </row>
    <row r="10" customFormat="false" ht="15" hidden="false" customHeight="false" outlineLevel="0" collapsed="false">
      <c r="B10" s="170"/>
      <c r="C10" s="144" t="s">
        <v>424</v>
      </c>
      <c r="D10" s="189" t="n">
        <v>0.12</v>
      </c>
    </row>
    <row r="11" customFormat="false" ht="15" hidden="false" customHeight="false" outlineLevel="0" collapsed="false">
      <c r="B11" s="170"/>
      <c r="C11" s="144" t="s">
        <v>425</v>
      </c>
      <c r="D11" s="189" t="n">
        <v>0.1</v>
      </c>
    </row>
    <row r="12" customFormat="false" ht="18" hidden="false" customHeight="true" outlineLevel="0" collapsed="false">
      <c r="B12" s="170" t="s">
        <v>426</v>
      </c>
      <c r="C12" s="190" t="s">
        <v>427</v>
      </c>
      <c r="D12" s="189" t="n">
        <v>0.8</v>
      </c>
    </row>
    <row r="13" customFormat="false" ht="15" hidden="false" customHeight="false" outlineLevel="0" collapsed="false">
      <c r="B13" s="170"/>
      <c r="C13" s="144" t="s">
        <v>428</v>
      </c>
      <c r="D13" s="189" t="n">
        <v>0.75</v>
      </c>
    </row>
    <row r="14" customFormat="false" ht="15" hidden="false" customHeight="false" outlineLevel="0" collapsed="false">
      <c r="B14" s="170"/>
      <c r="C14" s="144" t="s">
        <v>429</v>
      </c>
      <c r="D14" s="189" t="n">
        <v>0.7</v>
      </c>
    </row>
    <row r="15" customFormat="false" ht="15" hidden="false" customHeight="false" outlineLevel="0" collapsed="false">
      <c r="B15" s="170"/>
      <c r="C15" s="144" t="s">
        <v>430</v>
      </c>
      <c r="D15" s="189" t="n">
        <v>0.6</v>
      </c>
    </row>
    <row r="16" customFormat="false" ht="15" hidden="false" customHeight="false" outlineLevel="0" collapsed="false">
      <c r="B16" s="170"/>
      <c r="C16" s="144" t="s">
        <v>431</v>
      </c>
      <c r="D16" s="189" t="n">
        <v>0.5</v>
      </c>
    </row>
    <row r="17" customFormat="false" ht="15" hidden="false" customHeight="false" outlineLevel="0" collapsed="false">
      <c r="B17" s="170"/>
      <c r="C17" s="144" t="s">
        <v>432</v>
      </c>
      <c r="D17" s="189" t="n">
        <v>0.4</v>
      </c>
    </row>
    <row r="18" customFormat="false" ht="15" hidden="false" customHeight="false" outlineLevel="0" collapsed="false">
      <c r="B18" s="170"/>
      <c r="C18" s="144" t="s">
        <v>433</v>
      </c>
      <c r="D18" s="189" t="n">
        <v>0.3</v>
      </c>
    </row>
    <row r="19" customFormat="false" ht="15" hidden="false" customHeight="false" outlineLevel="0" collapsed="false">
      <c r="B19" s="170"/>
      <c r="C19" s="144" t="s">
        <v>434</v>
      </c>
      <c r="D19" s="189" t="n">
        <v>0</v>
      </c>
    </row>
    <row r="20" customFormat="false" ht="14.25" hidden="false" customHeight="false" outlineLevel="0" collapsed="false">
      <c r="B20" s="175"/>
    </row>
    <row r="21" customFormat="false" ht="15" hidden="false" customHeight="false" outlineLevel="0" collapsed="false">
      <c r="B21" s="191"/>
    </row>
    <row r="24" customFormat="false" ht="15" hidden="false" customHeight="false" outlineLevel="0" collapsed="false">
      <c r="B24" s="188" t="s">
        <v>435</v>
      </c>
      <c r="C24" s="188"/>
      <c r="D24" s="154"/>
    </row>
    <row r="25" customFormat="false" ht="15" hidden="false" customHeight="true" outlineLevel="0" collapsed="false">
      <c r="B25" s="170" t="s">
        <v>417</v>
      </c>
      <c r="C25" s="144" t="s">
        <v>418</v>
      </c>
      <c r="D25" s="144" t="s">
        <v>113</v>
      </c>
    </row>
    <row r="26" customFormat="false" ht="15" hidden="false" customHeight="false" outlineLevel="0" collapsed="false">
      <c r="B26" s="170"/>
      <c r="C26" s="144" t="s">
        <v>419</v>
      </c>
      <c r="D26" s="189" t="n">
        <v>0.2</v>
      </c>
    </row>
    <row r="27" customFormat="false" ht="15" hidden="false" customHeight="false" outlineLevel="0" collapsed="false">
      <c r="B27" s="170"/>
      <c r="C27" s="144" t="s">
        <v>420</v>
      </c>
      <c r="D27" s="189" t="n">
        <v>0.18</v>
      </c>
    </row>
    <row r="28" customFormat="false" ht="15" hidden="false" customHeight="false" outlineLevel="0" collapsed="false">
      <c r="B28" s="170"/>
      <c r="C28" s="144" t="s">
        <v>421</v>
      </c>
      <c r="D28" s="189" t="n">
        <v>0.16</v>
      </c>
    </row>
    <row r="29" customFormat="false" ht="15" hidden="false" customHeight="false" outlineLevel="0" collapsed="false">
      <c r="B29" s="170"/>
      <c r="C29" s="144" t="s">
        <v>422</v>
      </c>
      <c r="D29" s="189" t="n">
        <v>0.12</v>
      </c>
    </row>
    <row r="30" customFormat="false" ht="15" hidden="false" customHeight="false" outlineLevel="0" collapsed="false">
      <c r="B30" s="170"/>
      <c r="C30" s="144" t="s">
        <v>423</v>
      </c>
      <c r="D30" s="189" t="n">
        <v>0.14</v>
      </c>
    </row>
    <row r="31" customFormat="false" ht="15" hidden="false" customHeight="false" outlineLevel="0" collapsed="false">
      <c r="B31" s="170"/>
      <c r="C31" s="144" t="s">
        <v>424</v>
      </c>
      <c r="D31" s="189" t="n">
        <v>0.12</v>
      </c>
    </row>
    <row r="32" customFormat="false" ht="15" hidden="false" customHeight="false" outlineLevel="0" collapsed="false">
      <c r="B32" s="170"/>
      <c r="C32" s="144" t="s">
        <v>425</v>
      </c>
      <c r="D32" s="189" t="n">
        <v>0.1</v>
      </c>
    </row>
    <row r="33" customFormat="false" ht="15" hidden="false" customHeight="true" outlineLevel="0" collapsed="false">
      <c r="B33" s="170" t="s">
        <v>426</v>
      </c>
      <c r="C33" s="190" t="s">
        <v>436</v>
      </c>
      <c r="D33" s="189" t="n">
        <v>0.8</v>
      </c>
    </row>
    <row r="34" customFormat="false" ht="15" hidden="false" customHeight="false" outlineLevel="0" collapsed="false">
      <c r="B34" s="170"/>
      <c r="C34" s="144" t="s">
        <v>437</v>
      </c>
      <c r="D34" s="189" t="n">
        <v>0.7</v>
      </c>
    </row>
    <row r="35" customFormat="false" ht="15" hidden="false" customHeight="false" outlineLevel="0" collapsed="false">
      <c r="B35" s="170"/>
      <c r="C35" s="144" t="s">
        <v>432</v>
      </c>
      <c r="D35" s="189" t="n">
        <v>0.6</v>
      </c>
    </row>
    <row r="36" customFormat="false" ht="15" hidden="false" customHeight="false" outlineLevel="0" collapsed="false">
      <c r="B36" s="170"/>
      <c r="C36" s="144" t="s">
        <v>433</v>
      </c>
      <c r="D36" s="189" t="n">
        <v>0.5</v>
      </c>
    </row>
    <row r="37" customFormat="false" ht="15" hidden="false" customHeight="false" outlineLevel="0" collapsed="false">
      <c r="B37" s="170"/>
      <c r="C37" s="144" t="s">
        <v>438</v>
      </c>
      <c r="D37" s="189" t="n">
        <v>0.4</v>
      </c>
    </row>
    <row r="38" customFormat="false" ht="15" hidden="false" customHeight="false" outlineLevel="0" collapsed="false">
      <c r="B38" s="170"/>
      <c r="C38" s="144" t="s">
        <v>439</v>
      </c>
      <c r="D38" s="189" t="n">
        <v>0.3</v>
      </c>
    </row>
    <row r="39" customFormat="false" ht="15" hidden="false" customHeight="false" outlineLevel="0" collapsed="false">
      <c r="B39" s="170"/>
      <c r="C39" s="144" t="s">
        <v>440</v>
      </c>
      <c r="D39" s="189" t="n">
        <v>0</v>
      </c>
    </row>
    <row r="40" customFormat="false" ht="14.25" hidden="false" customHeight="false" outlineLevel="0" collapsed="false">
      <c r="B40" s="192" t="s">
        <v>441</v>
      </c>
      <c r="C40" s="192"/>
      <c r="D40" s="192"/>
    </row>
  </sheetData>
  <mergeCells count="7">
    <mergeCell ref="B3:C3"/>
    <mergeCell ref="B4:B11"/>
    <mergeCell ref="B12:B19"/>
    <mergeCell ref="B24:C24"/>
    <mergeCell ref="B25:B32"/>
    <mergeCell ref="B33:B39"/>
    <mergeCell ref="B40:D4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59765625" defaultRowHeight="14.25" customHeight="true" zeroHeight="false" outlineLevelRow="0" outlineLevelCol="0"/>
  <cols>
    <col collapsed="false" customWidth="true" hidden="false" outlineLevel="0" max="2" min="2" style="0" width="24.54"/>
    <col collapsed="false" customWidth="true" hidden="false" outlineLevel="0" max="3" min="3" style="0" width="16.45"/>
    <col collapsed="false" customWidth="true" hidden="false" outlineLevel="0" max="4" min="4" style="0" width="13.54"/>
    <col collapsed="false" customWidth="true" hidden="false" outlineLevel="0" max="5" min="5" style="0" width="19.09"/>
  </cols>
  <sheetData>
    <row r="2" customFormat="false" ht="18.75" hidden="false" customHeight="true" outlineLevel="0" collapsed="false">
      <c r="B2" s="193" t="s">
        <v>442</v>
      </c>
      <c r="C2" s="193" t="s">
        <v>443</v>
      </c>
      <c r="D2" s="193" t="s">
        <v>393</v>
      </c>
      <c r="E2" s="193" t="s">
        <v>444</v>
      </c>
    </row>
    <row r="3" customFormat="false" ht="15" hidden="false" customHeight="false" outlineLevel="0" collapsed="false">
      <c r="B3" s="144" t="s">
        <v>445</v>
      </c>
      <c r="C3" s="183" t="s">
        <v>446</v>
      </c>
      <c r="D3" s="194" t="s">
        <v>447</v>
      </c>
      <c r="E3" s="144" t="s">
        <v>448</v>
      </c>
    </row>
    <row r="4" customFormat="false" ht="15" hidden="false" customHeight="false" outlineLevel="0" collapsed="false">
      <c r="B4" s="144" t="s">
        <v>449</v>
      </c>
      <c r="C4" s="183" t="s">
        <v>450</v>
      </c>
      <c r="D4" s="194" t="s">
        <v>451</v>
      </c>
      <c r="E4" s="144" t="s">
        <v>452</v>
      </c>
    </row>
    <row r="5" customFormat="false" ht="18" hidden="false" customHeight="true" outlineLevel="0" collapsed="false">
      <c r="B5" s="144" t="s">
        <v>453</v>
      </c>
      <c r="C5" s="183" t="s">
        <v>454</v>
      </c>
      <c r="D5" s="194" t="s">
        <v>455</v>
      </c>
      <c r="E5" s="144" t="s">
        <v>410</v>
      </c>
    </row>
    <row r="6" customFormat="false" ht="15" hidden="false" customHeight="false" outlineLevel="0" collapsed="false">
      <c r="B6" s="144" t="s">
        <v>453</v>
      </c>
      <c r="C6" s="183" t="s">
        <v>456</v>
      </c>
      <c r="D6" s="194" t="s">
        <v>457</v>
      </c>
      <c r="E6" s="144" t="s">
        <v>414</v>
      </c>
    </row>
    <row r="7" customFormat="false" ht="16.5" hidden="false" customHeight="true" outlineLevel="0" collapsed="false">
      <c r="B7" s="144" t="s">
        <v>458</v>
      </c>
      <c r="C7" s="183" t="s">
        <v>412</v>
      </c>
      <c r="D7" s="194" t="s">
        <v>459</v>
      </c>
      <c r="E7" s="144" t="s">
        <v>460</v>
      </c>
    </row>
    <row r="14" customFormat="false" ht="28.5" hidden="false" customHeight="true" outlineLevel="0" collapsed="false">
      <c r="A14" s="195"/>
      <c r="B14" s="177" t="s">
        <v>461</v>
      </c>
      <c r="C14" s="177" t="s">
        <v>462</v>
      </c>
      <c r="D14" s="177"/>
      <c r="E14" s="177"/>
      <c r="F14" s="177"/>
      <c r="G14" s="177"/>
    </row>
    <row r="15" customFormat="false" ht="16.4" hidden="false" customHeight="true" outlineLevel="0" collapsed="false">
      <c r="A15" s="196" t="s">
        <v>463</v>
      </c>
      <c r="C15" s="177" t="s">
        <v>464</v>
      </c>
      <c r="D15" s="177" t="s">
        <v>249</v>
      </c>
      <c r="E15" s="177" t="s">
        <v>465</v>
      </c>
      <c r="F15" s="177" t="s">
        <v>466</v>
      </c>
      <c r="G15" s="177" t="s">
        <v>467</v>
      </c>
    </row>
    <row r="16" customFormat="false" ht="14.25" hidden="false" customHeight="true" outlineLevel="0" collapsed="false">
      <c r="A16" s="196"/>
      <c r="B16" s="179" t="s">
        <v>445</v>
      </c>
      <c r="C16" s="197" t="s">
        <v>468</v>
      </c>
      <c r="D16" s="197" t="s">
        <v>469</v>
      </c>
      <c r="E16" s="197" t="s">
        <v>447</v>
      </c>
      <c r="F16" s="179" t="s">
        <v>470</v>
      </c>
      <c r="G16" s="179" t="s">
        <v>471</v>
      </c>
    </row>
    <row r="17" customFormat="false" ht="16.4" hidden="false" customHeight="false" outlineLevel="0" collapsed="false">
      <c r="A17" s="196"/>
      <c r="B17" s="179" t="s">
        <v>449</v>
      </c>
      <c r="C17" s="197" t="s">
        <v>469</v>
      </c>
      <c r="D17" s="197" t="s">
        <v>447</v>
      </c>
      <c r="E17" s="197" t="s">
        <v>470</v>
      </c>
      <c r="F17" s="179" t="s">
        <v>471</v>
      </c>
      <c r="G17" s="179" t="s">
        <v>472</v>
      </c>
    </row>
    <row r="18" customFormat="false" ht="31.3" hidden="false" customHeight="false" outlineLevel="0" collapsed="false">
      <c r="A18" s="196"/>
      <c r="B18" s="179" t="s">
        <v>473</v>
      </c>
      <c r="C18" s="197" t="s">
        <v>447</v>
      </c>
      <c r="D18" s="197" t="s">
        <v>470</v>
      </c>
      <c r="E18" s="197" t="s">
        <v>471</v>
      </c>
      <c r="F18" s="179" t="s">
        <v>472</v>
      </c>
      <c r="G18" s="179" t="s">
        <v>474</v>
      </c>
    </row>
    <row r="19" customFormat="false" ht="31.3" hidden="false" customHeight="false" outlineLevel="0" collapsed="false">
      <c r="A19" s="196"/>
      <c r="B19" s="179" t="s">
        <v>475</v>
      </c>
      <c r="C19" s="197" t="s">
        <v>470</v>
      </c>
      <c r="D19" s="197" t="s">
        <v>471</v>
      </c>
      <c r="E19" s="179" t="s">
        <v>472</v>
      </c>
      <c r="F19" s="179" t="s">
        <v>474</v>
      </c>
      <c r="G19" s="179" t="s">
        <v>455</v>
      </c>
    </row>
    <row r="20" customFormat="false" ht="16.4" hidden="false" customHeight="false" outlineLevel="0" collapsed="false">
      <c r="A20" s="196"/>
      <c r="B20" s="179" t="s">
        <v>458</v>
      </c>
      <c r="C20" s="197" t="s">
        <v>471</v>
      </c>
      <c r="D20" s="179" t="s">
        <v>472</v>
      </c>
      <c r="E20" s="179" t="s">
        <v>474</v>
      </c>
      <c r="F20" s="179" t="s">
        <v>455</v>
      </c>
      <c r="G20" s="179" t="s">
        <v>457</v>
      </c>
    </row>
  </sheetData>
  <mergeCells count="2">
    <mergeCell ref="C14:G14"/>
    <mergeCell ref="A15:A2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59765625" defaultRowHeight="14.25" customHeight="true" zeroHeight="false" outlineLevelRow="0" outlineLevelCol="0"/>
  <cols>
    <col collapsed="false" customWidth="true" hidden="false" outlineLevel="0" max="2" min="2" style="0" width="27.37"/>
    <col collapsed="false" customWidth="true" hidden="false" outlineLevel="0" max="3" min="3" style="0" width="37.63"/>
    <col collapsed="false" customWidth="true" hidden="false" outlineLevel="0" max="5" min="4" style="0" width="26.37"/>
    <col collapsed="false" customWidth="true" hidden="false" outlineLevel="0" max="6" min="6" style="0" width="13"/>
    <col collapsed="false" customWidth="true" hidden="false" outlineLevel="0" max="7" min="7" style="0" width="6.09"/>
    <col collapsed="false" customWidth="true" hidden="false" outlineLevel="0" max="8" min="8" style="0" width="4.36"/>
  </cols>
  <sheetData>
    <row r="2" customFormat="false" ht="34.3" hidden="false" customHeight="false" outlineLevel="0" collapsed="false">
      <c r="B2" s="198" t="s">
        <v>395</v>
      </c>
      <c r="C2" s="198" t="s">
        <v>476</v>
      </c>
      <c r="D2" s="198" t="s">
        <v>477</v>
      </c>
      <c r="E2" s="198" t="s">
        <v>478</v>
      </c>
    </row>
    <row r="3" customFormat="false" ht="34.3" hidden="false" customHeight="false" outlineLevel="0" collapsed="false">
      <c r="B3" s="184" t="s">
        <v>479</v>
      </c>
      <c r="C3" s="199" t="s">
        <v>480</v>
      </c>
      <c r="D3" s="184" t="s">
        <v>481</v>
      </c>
      <c r="E3" s="200" t="n">
        <v>1</v>
      </c>
    </row>
    <row r="4" customFormat="false" ht="17.9" hidden="false" customHeight="false" outlineLevel="0" collapsed="false">
      <c r="B4" s="184" t="s">
        <v>403</v>
      </c>
      <c r="C4" s="199" t="s">
        <v>482</v>
      </c>
      <c r="D4" s="184" t="s">
        <v>483</v>
      </c>
      <c r="E4" s="200" t="n">
        <v>2</v>
      </c>
    </row>
    <row r="5" customFormat="false" ht="42" hidden="false" customHeight="true" outlineLevel="0" collapsed="false">
      <c r="B5" s="184" t="s">
        <v>407</v>
      </c>
      <c r="C5" s="199" t="s">
        <v>484</v>
      </c>
      <c r="D5" s="184" t="s">
        <v>485</v>
      </c>
      <c r="E5" s="200" t="n">
        <v>3</v>
      </c>
    </row>
    <row r="6" customFormat="false" ht="34.3" hidden="false" customHeight="false" outlineLevel="0" collapsed="false">
      <c r="B6" s="184" t="s">
        <v>411</v>
      </c>
      <c r="C6" s="199" t="s">
        <v>486</v>
      </c>
      <c r="D6" s="184" t="s">
        <v>487</v>
      </c>
      <c r="E6" s="200" t="n">
        <v>4</v>
      </c>
    </row>
    <row r="7" customFormat="false" ht="17.9" hidden="false" customHeight="false" outlineLevel="0" collapsed="false">
      <c r="B7" s="184" t="s">
        <v>415</v>
      </c>
      <c r="C7" s="199" t="s">
        <v>488</v>
      </c>
      <c r="D7" s="184" t="s">
        <v>489</v>
      </c>
      <c r="E7" s="200" t="n">
        <v>5</v>
      </c>
    </row>
    <row r="10" customFormat="false" ht="15" hidden="false" customHeight="true" outlineLevel="0" collapsed="false">
      <c r="B10" s="201"/>
      <c r="C10" s="202" t="s">
        <v>490</v>
      </c>
      <c r="D10" s="202"/>
      <c r="E10" s="202"/>
      <c r="F10" s="202"/>
      <c r="G10" s="202"/>
      <c r="H10" s="202"/>
    </row>
    <row r="11" customFormat="false" ht="15" hidden="false" customHeight="true" outlineLevel="0" collapsed="false">
      <c r="B11" s="203" t="s">
        <v>395</v>
      </c>
      <c r="C11" s="144"/>
      <c r="D11" s="194" t="s">
        <v>447</v>
      </c>
      <c r="E11" s="194" t="s">
        <v>451</v>
      </c>
      <c r="F11" s="144" t="s">
        <v>455</v>
      </c>
      <c r="G11" s="144" t="s">
        <v>457</v>
      </c>
      <c r="H11" s="144" t="s">
        <v>459</v>
      </c>
    </row>
    <row r="12" customFormat="false" ht="15" hidden="false" customHeight="false" outlineLevel="0" collapsed="false">
      <c r="B12" s="203"/>
      <c r="C12" s="144" t="s">
        <v>397</v>
      </c>
      <c r="D12" s="194" t="n">
        <v>1</v>
      </c>
      <c r="E12" s="194" t="n">
        <v>1</v>
      </c>
      <c r="F12" s="194" t="n">
        <v>2</v>
      </c>
      <c r="G12" s="194" t="n">
        <v>3</v>
      </c>
      <c r="H12" s="194" t="n">
        <v>3</v>
      </c>
    </row>
    <row r="13" customFormat="false" ht="15" hidden="false" customHeight="false" outlineLevel="0" collapsed="false">
      <c r="B13" s="203"/>
      <c r="C13" s="144" t="s">
        <v>401</v>
      </c>
      <c r="D13" s="144" t="n">
        <v>1</v>
      </c>
      <c r="E13" s="144" t="n">
        <v>2</v>
      </c>
      <c r="F13" s="144" t="n">
        <v>3</v>
      </c>
      <c r="G13" s="144" t="n">
        <v>3</v>
      </c>
      <c r="H13" s="144" t="n">
        <v>3</v>
      </c>
    </row>
    <row r="14" customFormat="false" ht="15" hidden="false" customHeight="false" outlineLevel="0" collapsed="false">
      <c r="B14" s="203"/>
      <c r="C14" s="144" t="s">
        <v>405</v>
      </c>
      <c r="D14" s="194" t="n">
        <v>2</v>
      </c>
      <c r="E14" s="194" t="n">
        <v>3</v>
      </c>
      <c r="F14" s="194" t="n">
        <v>3</v>
      </c>
      <c r="G14" s="204" t="n">
        <v>4</v>
      </c>
      <c r="H14" s="204" t="n">
        <v>4</v>
      </c>
    </row>
    <row r="15" customFormat="false" ht="15" hidden="false" customHeight="false" outlineLevel="0" collapsed="false">
      <c r="B15" s="203"/>
      <c r="C15" s="144" t="s">
        <v>409</v>
      </c>
      <c r="D15" s="194" t="n">
        <v>3</v>
      </c>
      <c r="E15" s="205" t="n">
        <v>4</v>
      </c>
      <c r="F15" s="205" t="n">
        <v>4</v>
      </c>
      <c r="G15" s="194" t="n">
        <v>5</v>
      </c>
      <c r="H15" s="194" t="n">
        <v>5</v>
      </c>
    </row>
    <row r="16" customFormat="false" ht="15" hidden="false" customHeight="false" outlineLevel="0" collapsed="false">
      <c r="B16" s="203"/>
      <c r="C16" s="144" t="s">
        <v>413</v>
      </c>
      <c r="D16" s="194" t="n">
        <v>5</v>
      </c>
      <c r="E16" s="194" t="n">
        <v>5</v>
      </c>
      <c r="F16" s="194" t="n">
        <v>5</v>
      </c>
      <c r="G16" s="194" t="n">
        <v>5</v>
      </c>
      <c r="H16" s="194" t="n">
        <v>5</v>
      </c>
    </row>
  </sheetData>
  <mergeCells count="2">
    <mergeCell ref="C10:H10"/>
    <mergeCell ref="B11:B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TotalTime>
  <Application>LibreOffice/25.2.2.2$Linux_X86_64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2023-05-11T05:41:30Z</dcterms:created>
  <dc:creator>Kenna Teferi Adugna</dc:creator>
  <dc:description/>
  <dc:language>en-US</dc:language>
  <cp:lastModifiedBy/>
  <dcterms:modified xsi:type="dcterms:W3CDTF">2025-05-16T18:41:12Z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